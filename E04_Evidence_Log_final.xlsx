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Guide" sheetId="1" state="visible" r:id="rId1"/>
    <sheet xmlns:r="http://schemas.openxmlformats.org/officeDocument/2006/relationships" name="Evidence Log" sheetId="2" state="visible" r:id="rId2"/>
    <sheet xmlns:r="http://schemas.openxmlformats.org/officeDocument/2006/relationships" name="PRISMA Counts" sheetId="3" state="visible" r:id="rId3"/>
    <sheet xmlns:r="http://schemas.openxmlformats.org/officeDocument/2006/relationships" name="Datasets" sheetId="4" state="visible" r:id="rId4"/>
  </sheets>
  <definedNames/>
  <calcPr calcId="0" fullCalcOnLoad="1" refMode="R1C1" iterateCount="0" calcCompleted="0" calcOnSave="0" concurrentCalc="0"/>
</workbook>
</file>

<file path=xl/styles.xml><?xml version="1.0" encoding="utf-8"?>
<styleSheet xmlns="http://schemas.openxmlformats.org/spreadsheetml/2006/main">
  <numFmts count="0"/>
  <fonts count="17">
    <font>
      <name val="Calibri"/>
      <family val="2"/>
      <color theme="1"/>
      <sz val="11"/>
    </font>
    <font>
      <name val="Arial"/>
      <b val="1"/>
      <color rgb="FF1F3864"/>
      <sz val="14"/>
    </font>
    <font>
      <name val="Arial"/>
      <i val="1"/>
      <sz val="10"/>
    </font>
    <font>
      <name val="Arial"/>
      <b val="1"/>
      <color rgb="FF1F3864"/>
      <sz val="11"/>
    </font>
    <font>
      <name val="Arial"/>
      <b val="1"/>
      <sz val="10"/>
    </font>
    <font>
      <name val="Arial"/>
      <sz val="10"/>
    </font>
    <font>
      <name val="Arial"/>
      <b val="1"/>
      <color rgb="FFFFFFFF"/>
      <sz val="10"/>
    </font>
    <font>
      <name val="Arial"/>
      <b val="1"/>
      <color rgb="FF1F3864"/>
      <sz val="13"/>
    </font>
    <font>
      <name val="Arial"/>
      <i val="1"/>
      <sz val="9"/>
    </font>
    <font>
      <name val="Arial"/>
      <family val="2"/>
      <color theme="1"/>
      <sz val="11"/>
    </font>
    <font>
      <name val="Arial"/>
      <family val="2"/>
      <b val="1"/>
      <color theme="1"/>
      <sz val="13"/>
    </font>
    <font>
      <name val="Arial"/>
      <family val="2"/>
      <b val="1"/>
      <color rgb="FFFFFFFF"/>
      <sz val="11"/>
    </font>
    <font>
      <name val="Calibri"/>
      <color rgb="FF000000"/>
      <sz val="20"/>
    </font>
    <font>
      <name val="Arial"/>
      <color rgb="FF000000"/>
      <sz val="10"/>
    </font>
    <font>
      <name val="Calibri"/>
      <color rgb="FF000000"/>
      <sz val="11"/>
    </font>
    <font>
      <name val="Arial"/>
      <color rgb="FF000000"/>
      <sz val="11"/>
    </font>
    <font>
      <name val="Calibri"/>
      <family val="2"/>
      <color theme="10"/>
      <sz val="11"/>
      <u val="single"/>
    </font>
  </fonts>
  <fills count="10">
    <fill>
      <patternFill/>
    </fill>
    <fill>
      <patternFill patternType="gray125"/>
    </fill>
    <fill>
      <patternFill patternType="solid">
        <fgColor rgb="FFE2EFDA"/>
      </patternFill>
    </fill>
    <fill>
      <patternFill patternType="solid">
        <fgColor rgb="FFFCE4D6"/>
      </patternFill>
    </fill>
    <fill>
      <patternFill patternType="solid">
        <fgColor rgb="FFFFF2CC"/>
      </patternFill>
    </fill>
    <fill>
      <patternFill patternType="solid">
        <fgColor rgb="FFEDEDED"/>
      </patternFill>
    </fill>
    <fill>
      <patternFill patternType="solid">
        <fgColor rgb="FF1F4E78"/>
      </patternFill>
    </fill>
    <fill>
      <patternFill patternType="solid">
        <fgColor rgb="FF1F3864"/>
      </patternFill>
    </fill>
    <fill>
      <patternFill patternType="solid">
        <fgColor rgb="FFFFFF00"/>
      </patternFill>
    </fill>
    <fill>
      <patternFill patternType="solid">
        <fgColor rgb="FF20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6"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5" fillId="0"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7" fillId="0" borderId="0" pivotButton="0" quotePrefix="0" xfId="0"/>
    <xf numFmtId="0" fontId="5" fillId="0" borderId="1" pivotButton="0" quotePrefix="0" xfId="0"/>
    <xf numFmtId="0" fontId="4" fillId="0" borderId="1" pivotButton="0" quotePrefix="0" xfId="0"/>
    <xf numFmtId="0" fontId="5" fillId="0" borderId="0" pivotButton="0" quotePrefix="0" xfId="0"/>
    <xf numFmtId="0" fontId="9" fillId="0" borderId="0" pivotButton="0" quotePrefix="0" xfId="0"/>
    <xf numFmtId="0" fontId="11" fillId="6" borderId="0" applyAlignment="1" pivotButton="0" quotePrefix="0" xfId="0">
      <alignment wrapText="1"/>
    </xf>
    <xf numFmtId="0" fontId="9" fillId="0" borderId="0" applyAlignment="1" pivotButton="0" quotePrefix="0" xfId="0">
      <alignment vertical="top" wrapText="1"/>
    </xf>
    <xf numFmtId="0" fontId="12" fillId="0" borderId="0" pivotButton="0" quotePrefix="0" xfId="0"/>
    <xf numFmtId="0" fontId="6" fillId="7" borderId="1" applyAlignment="1" pivotButton="0" quotePrefix="0" xfId="0">
      <alignment wrapText="1"/>
    </xf>
    <xf numFmtId="0" fontId="13" fillId="0" borderId="1" applyAlignment="1" pivotButton="0" quotePrefix="0" xfId="0">
      <alignment wrapText="1"/>
    </xf>
    <xf numFmtId="0" fontId="14" fillId="0" borderId="0" applyAlignment="1" pivotButton="0" quotePrefix="0" xfId="0">
      <alignment wrapText="1"/>
    </xf>
    <xf numFmtId="0" fontId="15" fillId="8" borderId="1" applyAlignment="1" pivotButton="0" quotePrefix="0" xfId="0">
      <alignment wrapText="1"/>
    </xf>
    <xf numFmtId="0" fontId="16" fillId="0" borderId="1" applyAlignment="1" pivotButton="0" quotePrefix="0" xfId="1">
      <alignment vertical="top" wrapText="1"/>
    </xf>
    <xf numFmtId="0" fontId="9" fillId="0" borderId="0" applyAlignment="1" pivotButton="0" quotePrefix="0" xfId="0">
      <alignment wrapText="1"/>
    </xf>
    <xf numFmtId="0" fontId="0" fillId="0" borderId="0" applyAlignment="1" pivotButton="0" quotePrefix="0" xfId="0">
      <alignment wrapText="1"/>
    </xf>
    <xf numFmtId="0" fontId="11" fillId="9" borderId="0" applyAlignment="1" pivotButton="0" quotePrefix="0" xfId="0">
      <alignment wrapText="1"/>
    </xf>
    <xf numFmtId="0" fontId="0" fillId="0" borderId="0" applyAlignment="1" pivotButton="0" quotePrefix="0" xfId="0">
      <alignment wrapText="1"/>
    </xf>
    <xf numFmtId="0" fontId="6" fillId="7" borderId="1" applyAlignment="1" pivotButton="0" quotePrefix="0" xfId="0">
      <alignment horizontal="center" vertical="center" wrapText="1"/>
    </xf>
    <xf numFmtId="0" fontId="10" fillId="0" borderId="0" pivotButton="0" quotePrefix="0" xfId="0"/>
    <xf numFmtId="0" fontId="6" fillId="7" borderId="0" pivotButton="0" quotePrefix="0" xfId="0"/>
    <xf numFmtId="0" fontId="0" fillId="7" borderId="0" pivotButton="0" quotePrefix="0" xfId="0"/>
    <xf numFmtId="0" fontId="8" fillId="8" borderId="0" pivotButton="0" quotePrefix="0" xfId="0"/>
    <xf numFmtId="0" fontId="4" fillId="8" borderId="0" pivotButton="0" quotePrefix="0" xfId="0"/>
    <xf numFmtId="0" fontId="6" fillId="7" borderId="1" applyAlignment="1" pivotButton="0" quotePrefix="0" xfId="0">
      <alignment vertical="center" wrapText="1"/>
    </xf>
  </cellXfs>
  <cellStyles count="2">
    <cellStyle name="Normal" xfId="0" builtinId="0"/>
    <cellStyle name="Hyperlink" xfId="1"/>
  </cellStyles>
  <dxfs count="9">
    <dxf>
      <font>
        <color rgb="FF1F4E78"/>
      </font>
      <fill>
        <patternFill patternType="solid">
          <bgColor rgb="FFDDEBF7"/>
        </patternFill>
      </fill>
    </dxf>
    <dxf>
      <font>
        <color rgb="FF7F6000"/>
      </font>
      <fill>
        <patternFill>
          <bgColor rgb="FFFFF2CC"/>
        </patternFill>
      </fill>
    </dxf>
    <dxf>
      <font>
        <color rgb="FF9C0006"/>
      </font>
      <fill>
        <patternFill>
          <bgColor rgb="FFFCE4D6"/>
        </patternFill>
      </fill>
    </dxf>
    <dxf>
      <font>
        <color rgb="FF7F6000"/>
      </font>
      <fill>
        <patternFill>
          <bgColor rgb="FFFFF2CC"/>
        </patternFill>
      </fill>
    </dxf>
    <dxf>
      <font>
        <color rgb="FF7F6000"/>
      </font>
      <fill>
        <patternFill>
          <bgColor rgb="FFFFF2CC"/>
        </patternFill>
      </fill>
    </dxf>
    <dxf>
      <fill>
        <patternFill>
          <bgColor rgb="FFFFF2CC"/>
        </patternFill>
      </fill>
    </dxf>
    <dxf>
      <fill>
        <patternFill>
          <bgColor rgb="FFEDEDED"/>
        </patternFill>
      </fill>
    </dxf>
    <dxf>
      <fill>
        <patternFill>
          <bgColor rgb="FFFCE4D6"/>
        </patternFill>
      </fill>
    </dxf>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doi.org/10.5281/zenodo.18212871" TargetMode="External" Id="rId1"/></Relationships>
</file>

<file path=xl/worksheets/sheet1.xml><?xml version="1.0" encoding="utf-8"?>
<worksheet xmlns="http://schemas.openxmlformats.org/spreadsheetml/2006/main">
  <sheetPr>
    <outlinePr summaryBelow="1" summaryRight="1"/>
    <pageSetUpPr/>
  </sheetPr>
  <dimension ref="A1:D50"/>
  <sheetViews>
    <sheetView tabSelected="1" zoomScaleNormal="100" zoomScaleSheetLayoutView="100" workbookViewId="0">
      <selection activeCell="A1" sqref="A1"/>
    </sheetView>
  </sheetViews>
  <sheetFormatPr baseColWidth="8" defaultColWidth="8.7109375" defaultRowHeight="15"/>
  <cols>
    <col width="16" customWidth="1" min="1" max="1"/>
    <col width="100" customWidth="1" min="2" max="2"/>
  </cols>
  <sheetData>
    <row r="1" ht="17.45" customHeight="1">
      <c r="A1" s="1" t="inlineStr">
        <is>
          <t>E04 Authentic and Secure Assessment in AI-Rich Computing Education</t>
        </is>
      </c>
    </row>
    <row r="2">
      <c r="A2" s="2" t="inlineStr">
        <is>
          <t>Evidence Screening Log  |  Evidence Screening Lead: Prajwal Acharaya  |  Version 1, 23/09/2026</t>
        </is>
      </c>
    </row>
    <row r="3"/>
    <row r="4">
      <c r="A4" s="3" t="inlineStr">
        <is>
          <t>HOW TO USE</t>
        </is>
      </c>
      <c r="B4" s="4" t="inlineStr">
        <is>
          <t xml:space="preserve">This is for group memeber to ad. add/ edit this excel file . </t>
        </is>
      </c>
    </row>
    <row r="5">
      <c r="A5" s="5" t="inlineStr">
        <is>
          <t>1</t>
        </is>
      </c>
      <c r="B5" s="6" t="inlineStr">
        <is>
          <t>Add every record you find to the Evidence Log tab, one row each, including duplicates (mark them Duplicate = Yes).</t>
        </is>
      </c>
    </row>
    <row r="6">
      <c r="A6" s="5" t="inlineStr">
        <is>
          <t>2</t>
        </is>
      </c>
      <c r="B6" s="6" t="inlineStr">
        <is>
          <t>Screen title/abstract first (Include / Exclude / Maybe). Only Include or Maybe records go to full-text screening.</t>
        </is>
      </c>
    </row>
    <row r="7">
      <c r="A7" s="5" t="inlineStr">
        <is>
          <t>3</t>
        </is>
      </c>
      <c r="B7" s="6" t="inlineStr">
        <is>
          <t>After reading the full text, set Full-text Screen to Include or Exclude. Leave it blank if the full text is not yet retrieved.</t>
        </is>
      </c>
    </row>
    <row r="8" ht="23.85" customHeight="1">
      <c r="A8" s="5" t="inlineStr">
        <is>
          <t>4</t>
        </is>
      </c>
      <c r="B8" s="6" t="inlineStr">
        <is>
          <t>If excluded, pick one reason code from the list below. Final Decision fills in automatically (grey columns are formulas, do not type in them).</t>
        </is>
      </c>
    </row>
    <row r="9">
      <c r="A9" s="5" t="inlineStr">
        <is>
          <t>5</t>
        </is>
      </c>
      <c r="B9" s="6" t="inlineStr">
        <is>
          <t>The PRISMA Counts tab updates itself and gives the numbers for the PRISMA flow diagram.</t>
        </is>
      </c>
    </row>
    <row r="10">
      <c r="A10" s="5" t="n"/>
      <c r="B10" s="6" t="n"/>
    </row>
    <row r="11" ht="52.15" customHeight="1">
      <c r="A11" s="3" t="inlineStr">
        <is>
          <t>INCLUSION CRITERIA (draft, confirm with group)</t>
        </is>
      </c>
      <c r="B11" s="4" t="n"/>
    </row>
    <row r="12">
      <c r="A12" s="5" t="inlineStr">
        <is>
          <t>IC1</t>
        </is>
      </c>
      <c r="B12" s="6" t="inlineStr">
        <is>
          <t>Higher education or tertiary context</t>
        </is>
      </c>
    </row>
    <row r="13">
      <c r="A13" s="5" t="inlineStr">
        <is>
          <t>IC2</t>
        </is>
      </c>
      <c r="B13" s="6" t="inlineStr">
        <is>
          <t>Focus on assessment design, assessment validity or academic integrity</t>
        </is>
      </c>
    </row>
    <row r="14">
      <c r="A14" s="5" t="inlineStr">
        <is>
          <t>IC3</t>
        </is>
      </c>
      <c r="B14" s="6" t="inlineStr">
        <is>
          <t>Involves generative AI / LLMs (or AI in assessment more broadly)</t>
        </is>
      </c>
    </row>
    <row r="15">
      <c r="A15" s="5" t="inlineStr">
        <is>
          <t>IC4</t>
        </is>
      </c>
      <c r="B15" s="6" t="inlineStr">
        <is>
          <t>Peer-reviewed journal article, conference paper, or formal framework paper</t>
        </is>
      </c>
    </row>
    <row r="16">
      <c r="A16" s="5" t="inlineStr">
        <is>
          <t>IC5</t>
        </is>
      </c>
      <c r="B16" s="6" t="inlineStr">
        <is>
          <t>Published 2022 to 2026, written in English</t>
        </is>
      </c>
    </row>
    <row r="17">
      <c r="A17" s="5" t="n"/>
      <c r="B17" s="6" t="n"/>
    </row>
    <row r="18" ht="39.6" customHeight="1">
      <c r="A18" s="3" t="inlineStr">
        <is>
          <t>EXCLUSION REASON CODES</t>
        </is>
      </c>
      <c r="B18" s="4" t="n"/>
    </row>
    <row r="19">
      <c r="A19" s="5" t="inlineStr">
        <is>
          <t>E1</t>
        </is>
      </c>
      <c r="B19" s="6" t="inlineStr">
        <is>
          <t>Not higher education</t>
        </is>
      </c>
    </row>
    <row r="20">
      <c r="A20" s="5" t="inlineStr">
        <is>
          <t>E2</t>
        </is>
      </c>
      <c r="B20" s="6" t="inlineStr">
        <is>
          <t>Not about assessment or academic integrity</t>
        </is>
      </c>
    </row>
    <row r="21">
      <c r="A21" s="5" t="inlineStr">
        <is>
          <t>E3</t>
        </is>
      </c>
      <c r="B21" s="6" t="inlineStr">
        <is>
          <t>No AI / GenAI context</t>
        </is>
      </c>
    </row>
    <row r="22">
      <c r="A22" s="5" t="inlineStr">
        <is>
          <t>E4</t>
        </is>
      </c>
      <c r="B22" s="6" t="inlineStr">
        <is>
          <t>Not peer-reviewed (forum post, blog, opinion without review)</t>
        </is>
      </c>
    </row>
    <row r="23">
      <c r="A23" s="5" t="inlineStr">
        <is>
          <t>E5</t>
        </is>
      </c>
      <c r="B23" s="6" t="inlineStr">
        <is>
          <t>Outside date range (before 2022)</t>
        </is>
      </c>
    </row>
    <row r="24">
      <c r="A24" s="5" t="inlineStr">
        <is>
          <t>E6</t>
        </is>
      </c>
      <c r="B24" s="6" t="inlineStr">
        <is>
          <t>Not in English</t>
        </is>
      </c>
    </row>
    <row r="25">
      <c r="A25" s="5" t="inlineStr">
        <is>
          <t>E7</t>
        </is>
      </c>
      <c r="B25" s="6" t="inlineStr">
        <is>
          <t>Full text not available after retrieval attempt</t>
        </is>
      </c>
    </row>
    <row r="26">
      <c r="A26" s="5" t="n"/>
      <c r="B26" s="6" t="n"/>
    </row>
    <row r="27">
      <c r="A27" s="3" t="inlineStr">
        <is>
          <t>THEME CODES</t>
        </is>
      </c>
      <c r="B27" s="4" t="n"/>
    </row>
    <row r="28">
      <c r="A28" s="5" t="inlineStr">
        <is>
          <t>T1</t>
        </is>
      </c>
      <c r="B28" s="6" t="inlineStr">
        <is>
          <t>Academic integrity and limits of AI detection</t>
        </is>
      </c>
    </row>
    <row r="29">
      <c r="A29" s="5" t="inlineStr">
        <is>
          <t>T2</t>
        </is>
      </c>
      <c r="B29" s="6" t="inlineStr">
        <is>
          <t>Assessment redesign: authentic, process-based, multi-stage</t>
        </is>
      </c>
    </row>
    <row r="30">
      <c r="A30" s="5" t="inlineStr">
        <is>
          <t>T3</t>
        </is>
      </c>
      <c r="B30" s="6" t="inlineStr">
        <is>
          <t>Oral / viva verification of understanding</t>
        </is>
      </c>
    </row>
    <row r="31">
      <c r="A31" s="5" t="inlineStr">
        <is>
          <t>T4</t>
        </is>
      </c>
      <c r="B31" s="6" t="inlineStr">
        <is>
          <t>AI-use frameworks, scales and declaration</t>
        </is>
      </c>
    </row>
    <row r="32">
      <c r="A32" s="5" t="inlineStr">
        <is>
          <t>T5</t>
        </is>
      </c>
      <c r="B32" s="6" t="inlineStr">
        <is>
          <t>Computing / programming-specific evidence</t>
        </is>
      </c>
    </row>
    <row r="33">
      <c r="A33" s="5" t="inlineStr">
        <is>
          <t>T6</t>
        </is>
      </c>
      <c r="B33" s="6" t="inlineStr">
        <is>
          <t>AI literacy, staff development and institutional policy</t>
        </is>
      </c>
    </row>
    <row r="34">
      <c r="A34" s="5" t="n"/>
      <c r="B34" s="6" t="n"/>
    </row>
    <row r="35">
      <c r="A35" s="3" t="inlineStr">
        <is>
          <t>COLOUR KEY</t>
        </is>
      </c>
      <c r="B35" s="4" t="n"/>
    </row>
    <row r="36">
      <c r="A36" s="7" t="inlineStr">
        <is>
          <t>Green</t>
        </is>
      </c>
      <c r="B36" s="6" t="inlineStr">
        <is>
          <t>Include</t>
        </is>
      </c>
    </row>
    <row r="37">
      <c r="A37" s="8" t="inlineStr">
        <is>
          <t>Red</t>
        </is>
      </c>
      <c r="B37" s="6" t="inlineStr">
        <is>
          <t>Exclude</t>
        </is>
      </c>
    </row>
    <row r="38" ht="26.25" customHeight="1">
      <c r="A38" s="9" t="inlineStr">
        <is>
          <t>Yellow</t>
        </is>
      </c>
      <c r="B38" s="6" t="inlineStr">
        <is>
          <t>Pending (full text still needed)</t>
        </is>
      </c>
      <c r="D38" s="21" t="inlineStr">
        <is>
          <t xml:space="preserve">This is automated </t>
        </is>
      </c>
    </row>
    <row r="39">
      <c r="A39" s="10" t="inlineStr">
        <is>
          <t>Grey</t>
        </is>
      </c>
      <c r="B39" s="6" t="inlineStr">
        <is>
          <t>Duplicate / formula column</t>
        </is>
      </c>
    </row>
    <row r="40">
      <c r="A40" s="4" t="n"/>
      <c r="B40" s="4" t="n"/>
    </row>
    <row r="41"/>
    <row r="42">
      <c r="A42" t="inlineStr">
        <is>
          <t>16/10/2026 relevance screening update</t>
        </is>
      </c>
    </row>
    <row r="43" ht="26.45" customHeight="1">
      <c r="A43" t="inlineStr">
        <is>
          <t>Decision method</t>
        </is>
      </c>
      <c r="B43" s="30" t="inlineStr">
        <is>
          <t>Relevant records selected from supplied titles and summaries. Final Decision records relevance selection; Full-text Screen remains separate.</t>
        </is>
      </c>
    </row>
    <row r="44" ht="26.45" customHeight="1">
      <c r="A44" t="inlineStr">
        <is>
          <t>Scope</t>
        </is>
      </c>
      <c r="B44" s="30" t="inlineStr">
        <is>
          <t>Tertiary AI/GenAI assessment, validity, integrity and supporting learning/context evidence. Programming-intensive engineering retained as adjacent evidence.</t>
        </is>
      </c>
    </row>
    <row r="45" ht="26.45" customHeight="1">
      <c r="A45" t="inlineStr">
        <is>
          <t>Evidence roles</t>
        </is>
      </c>
      <c r="B45" s="30" t="inlineStr">
        <is>
          <t>Core assessment, supporting/contextual and background-only records are distinguished in AX. Inclusion does not establish study quality or effectiveness.</t>
        </is>
      </c>
    </row>
    <row r="46"/>
    <row r="47">
      <c r="A47" t="inlineStr">
        <is>
          <t>Strict scope revision</t>
        </is>
      </c>
    </row>
    <row r="48" ht="26.45" customHeight="1">
      <c r="A48" t="inlineStr">
        <is>
          <t>Main synthesis</t>
        </is>
      </c>
      <c r="B48" s="30" t="inlineStr">
        <is>
          <t>Higher-education Computing/IT assessment design, security, integrity or verification of understanding. Include direct empirical, design, technical and disciplinary framework evidence; identify study type.</t>
        </is>
      </c>
    </row>
    <row r="49" ht="26.45" customHeight="1">
      <c r="A49" t="inlineStr">
        <is>
          <t>Background</t>
        </is>
      </c>
      <c r="B49" s="30" t="inlineStr">
        <is>
          <t>Cross-disciplinary work, broad AI/learning/literacy studies, secondary reviews and adjacent engineering contexts remain accessible but are not counted as main-synthesis inclusions.</t>
        </is>
      </c>
    </row>
    <row r="50" ht="26.45" customHeight="1">
      <c r="A50" t="inlineStr">
        <is>
          <t>Verification</t>
        </is>
      </c>
      <c r="B50" s="30" t="inlineStr">
        <is>
          <t>Selection uses supplied descriptions. Original-article metadata, full-text eligibility and quality appraisal remain separate. Include means selected for this synthesis, not independently verified or proven effective.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A100"/>
  <sheetViews>
    <sheetView workbookViewId="0">
      <pane xSplit="2" ySplit="1" topLeftCell="C2" activePane="bottomRight" state="frozen"/>
      <selection pane="bottomRight" activeCell="A1" sqref="A1"/>
      <selection pane="bottomLeft" activeCell="A1" sqref="A1"/>
      <selection pane="topRight" activeCell="A1" sqref="A1"/>
    </sheetView>
  </sheetViews>
  <sheetFormatPr baseColWidth="8" defaultColWidth="8.7109375" defaultRowHeight="15"/>
  <cols>
    <col width="9" customWidth="1" min="1" max="1"/>
    <col width="11" customWidth="1" min="2" max="2"/>
    <col width="20" customWidth="1" min="3" max="3"/>
    <col width="26" customWidth="1" min="4" max="4"/>
    <col width="22" customWidth="1" min="5" max="5"/>
    <col width="7" customWidth="1" min="6" max="6"/>
    <col width="40" customWidth="1" min="7" max="7"/>
    <col width="24" customWidth="1" min="8" max="8"/>
    <col width="30" customWidth="1" min="9" max="9"/>
    <col width="18" customWidth="1" min="10" max="10"/>
    <col width="30" customWidth="1" min="11" max="11"/>
    <col width="22" customWidth="1" min="12" max="12"/>
    <col width="10" customWidth="1" min="13" max="13"/>
    <col width="11" customWidth="1" min="14" max="14"/>
    <col width="14" customWidth="1" min="15" max="15"/>
    <col width="13" customWidth="1" min="16" max="16"/>
    <col width="11" customWidth="1" min="17" max="17"/>
    <col width="13" customWidth="1" min="18" max="18"/>
    <col width="12" customWidth="1" min="19" max="20"/>
    <col width="55" customWidth="1" min="21" max="21"/>
    <col width="9" customWidth="1" min="22" max="22"/>
    <col width="35" customWidth="1" min="23" max="23"/>
    <col width="48" customWidth="1" min="25" max="25"/>
    <col width="22" customWidth="1" min="26" max="26"/>
    <col width="45" customWidth="1" min="27" max="27"/>
    <col width="60" customWidth="1" min="28" max="28"/>
    <col width="29" customWidth="1" min="30" max="30"/>
    <col width="38" customWidth="1" min="31" max="31"/>
    <col width="25" customWidth="1" min="32" max="32"/>
    <col width="24" customWidth="1" min="33" max="33"/>
    <col width="37" customWidth="1" min="35" max="35"/>
    <col width="12" customWidth="1" min="36" max="36"/>
    <col width="26" customWidth="1" min="38" max="38"/>
    <col width="55" customWidth="1" min="41" max="46"/>
    <col width="65" customWidth="1" min="47" max="49"/>
    <col width="52" customWidth="1" min="50" max="53"/>
  </cols>
  <sheetData>
    <row r="1" ht="31.5" customHeight="1">
      <c r="A1" s="31" t="inlineStr">
        <is>
          <t>Record ID</t>
        </is>
      </c>
      <c r="B1" s="31" t="inlineStr">
        <is>
          <t>Date Logged</t>
        </is>
      </c>
      <c r="C1" s="31" t="inlineStr">
        <is>
          <t>Source / How Found</t>
        </is>
      </c>
      <c r="D1" s="22" t="inlineStr">
        <is>
          <t>File Name / Paper Title</t>
        </is>
      </c>
      <c r="E1" s="31" t="inlineStr">
        <is>
          <t>Author(s)</t>
        </is>
      </c>
      <c r="F1" s="31" t="inlineStr">
        <is>
          <t>Year</t>
        </is>
      </c>
      <c r="G1" s="31" t="inlineStr">
        <is>
          <t>Title</t>
        </is>
      </c>
      <c r="H1" s="31" t="inlineStr">
        <is>
          <t>Journal / Venue</t>
        </is>
      </c>
      <c r="I1" s="31" t="inlineStr">
        <is>
          <t>DOI / Link</t>
        </is>
      </c>
      <c r="J1" s="31" t="inlineStr">
        <is>
          <t>Publication Type</t>
        </is>
      </c>
      <c r="K1" s="31" t="inlineStr">
        <is>
          <t>Study Design / Method</t>
        </is>
      </c>
      <c r="L1" s="31" t="inlineStr">
        <is>
          <t>Context</t>
        </is>
      </c>
      <c r="M1" s="31" t="inlineStr">
        <is>
          <t>Duplicate?</t>
        </is>
      </c>
      <c r="N1" s="31" t="inlineStr">
        <is>
          <t>Duplicate of</t>
        </is>
      </c>
      <c r="O1" s="31" t="inlineStr">
        <is>
          <t>Title/Abstract Screen</t>
        </is>
      </c>
      <c r="P1" s="31" t="inlineStr">
        <is>
          <t>Full-text Screen</t>
        </is>
      </c>
      <c r="Q1" s="31" t="inlineStr">
        <is>
          <t>Exclusion Code</t>
        </is>
      </c>
      <c r="R1" s="31" t="inlineStr">
        <is>
          <t>Final Decision</t>
        </is>
      </c>
      <c r="S1" s="31" t="inlineStr">
        <is>
          <t>Relevance to E04</t>
        </is>
      </c>
      <c r="T1" s="31" t="inlineStr">
        <is>
          <t>Theme Codes</t>
        </is>
      </c>
      <c r="U1" s="31" t="inlineStr">
        <is>
          <t>Key Finding (own words)</t>
        </is>
      </c>
      <c r="V1" s="31" t="inlineStr">
        <is>
          <t>Screener</t>
        </is>
      </c>
      <c r="W1" s="31" t="inlineStr">
        <is>
          <t>Notes / Next Action</t>
        </is>
      </c>
      <c r="Y1" s="32" t="n"/>
      <c r="AD1" s="29" t="inlineStr">
        <is>
          <t>Older evidence flag</t>
        </is>
      </c>
      <c r="AE1" s="29" t="inlineStr">
        <is>
          <t>Missing information</t>
        </is>
      </c>
      <c r="AF1" s="29" t="inlineStr">
        <is>
          <t>Repeated DOI / link</t>
        </is>
      </c>
      <c r="AG1" s="29" t="inlineStr">
        <is>
          <t>Pending review</t>
        </is>
      </c>
      <c r="AI1" s="29" t="inlineStr">
        <is>
          <t>Screening totals</t>
        </is>
      </c>
      <c r="AJ1" s="29" t="inlineStr">
        <is>
          <t>Count</t>
        </is>
      </c>
      <c r="AL1" s="29" t="inlineStr">
        <is>
          <t>Pending record IDs</t>
        </is>
      </c>
      <c r="AO1" s="29" t="inlineStr">
        <is>
          <t>Assessment category / focus</t>
        </is>
      </c>
      <c r="AP1" s="29" t="inlineStr">
        <is>
          <t>Assessment strategy</t>
        </is>
      </c>
      <c r="AQ1" s="29" t="inlineStr">
        <is>
          <t>GenAI context</t>
        </is>
      </c>
      <c r="AR1" s="29" t="inlineStr">
        <is>
          <t>Relevance rationale / discipline</t>
        </is>
      </c>
      <c r="AS1" s="29" t="inlineStr">
        <is>
          <t>Limitations</t>
        </is>
      </c>
      <c r="AT1" s="29" t="inlineStr">
        <is>
          <t>Source inclusion recommendation</t>
        </is>
      </c>
      <c r="AU1" s="29" t="inlineStr">
        <is>
          <t>RQ mapping (source interpretation)</t>
        </is>
      </c>
      <c r="AV1" s="29" t="inlineStr">
        <is>
          <t>Project benefits / proposed applications</t>
        </is>
      </c>
      <c r="AW1" s="29" t="inlineStr">
        <is>
          <t>Source reference</t>
        </is>
      </c>
      <c r="AX1" s="29" t="inlineStr">
        <is>
          <t>Evidence role</t>
        </is>
      </c>
      <c r="AY1" s="29" t="inlineStr">
        <is>
          <t>Decision basis</t>
        </is>
      </c>
      <c r="AZ1" s="29" t="inlineStr">
        <is>
          <t>Relevance rationale</t>
        </is>
      </c>
      <c r="BA1" s="29" t="inlineStr">
        <is>
          <t>Full-text verification</t>
        </is>
      </c>
    </row>
    <row r="2" ht="107.25" customHeight="1">
      <c r="A2" s="11" t="inlineStr">
        <is>
          <t>R01</t>
        </is>
      </c>
      <c r="B2" s="11" t="inlineStr">
        <is>
          <t>23/09/2026</t>
        </is>
      </c>
      <c r="C2" s="11" t="inlineStr">
        <is>
          <t>Group upload (shared folder)</t>
        </is>
      </c>
      <c r="D2" s="23" t="inlineStr">
        <is>
          <t>Redefining student assessment in AI-infused learning environments: a systematic review of challenges and strategies for academic integrity Original file: Redefining_student_assessment_in_AI-infused_learni.pdf</t>
        </is>
      </c>
      <c r="E2" s="11" t="inlineStr">
        <is>
          <t>Ncube, Dzvapatsva, Matobobo &amp; Ranga</t>
        </is>
      </c>
      <c r="F2" s="11" t="n">
        <v>2026</v>
      </c>
      <c r="G2" s="11" t="inlineStr">
        <is>
          <t>Redefining student assessment in AI-infused learning environments: a systematic review of challenges and strategies for academic integrity</t>
        </is>
      </c>
      <c r="H2" s="11" t="inlineStr">
        <is>
          <t>AI and Ethics, 6, Article 68</t>
        </is>
      </c>
      <c r="I2" s="11" t="inlineStr">
        <is>
          <t>https://doi.org/10.1007/s43681-025-00871-w</t>
        </is>
      </c>
      <c r="J2" s="11" t="inlineStr">
        <is>
          <t>Journal article</t>
        </is>
      </c>
      <c r="K2" s="11" t="inlineStr">
        <is>
          <t>Systematic review (PRISMA), 56 studies, thematic analysis</t>
        </is>
      </c>
      <c r="L2" s="11" t="inlineStr">
        <is>
          <t>Higher education, multi-discipline</t>
        </is>
      </c>
      <c r="M2" s="11" t="inlineStr">
        <is>
          <t>No</t>
        </is>
      </c>
      <c r="N2" s="11" t="n"/>
      <c r="O2" s="11" t="inlineStr">
        <is>
          <t>Include</t>
        </is>
      </c>
      <c r="P2" s="11" t="inlineStr">
        <is>
          <t>Include</t>
        </is>
      </c>
      <c r="Q2" s="11" t="n"/>
      <c r="R2" s="12" t="inlineStr">
        <is>
          <t>Background</t>
        </is>
      </c>
      <c r="S2" s="11" t="inlineStr">
        <is>
          <t>High</t>
        </is>
      </c>
      <c r="T2" s="11" t="inlineStr">
        <is>
          <t>T1, T2, T3, T6</t>
        </is>
      </c>
      <c r="U2" s="11" t="inlineStr">
        <is>
          <t>AI detection tools are unreliable, so integrity depends on redesign: oral exams, scaffolded multi-stage tasks, AI disclosure and AI literacy. Recommends vivas as routine, not only for misconduct cases.</t>
        </is>
      </c>
      <c r="V2" s="11" t="inlineStr">
        <is>
          <t>PA</t>
        </is>
      </c>
      <c r="W2" s="11" t="inlineStr">
        <is>
          <t>Strong anchor source for the 'secure assessment' side.
16/10/2026 relevance decision: Include. Addresses assessment design, verification of understanding, assessment validity or integrity in AI-rich education.
Revised strict-scope decision: Background only. Secondary synthesis or broad review; retain to frame or locate primary studies, outside the direct assessment-study synthesis.</t>
        </is>
      </c>
      <c r="Y2" s="18" t="n"/>
      <c r="Z2" s="18" t="n"/>
      <c r="AA2" s="18" t="n"/>
      <c r="AB2" s="18" t="n"/>
      <c r="AD2" s="20">
        <f>IF(G2="","",IF(F2="","",IF(AND(F2&gt;=2022,F2&lt;=2024),"Review 2026 applicability","")))</f>
        <v/>
      </c>
      <c r="AE2" s="20">
        <f>IF(G2="","",IF(OR(E2="",F2="",I2="",V2=""),"Missing author/year/link/screener",""))</f>
        <v/>
      </c>
      <c r="AF2" s="20">
        <f>IF(G2="","",IF(I2="","",IF(COUNTIF($I$2:$I$100,I2)&gt;1,"Check duplicate","")))</f>
        <v/>
      </c>
      <c r="AG2" s="20">
        <f>IF(G2="","",IF(M2="Yes","Duplicate",IF(OR(R2="",R2="Pending"),"Review pending","")))</f>
        <v/>
      </c>
      <c r="AI2" s="18" t="inlineStr">
        <is>
          <t>Records with titles</t>
        </is>
      </c>
      <c r="AJ2" s="18">
        <f>COUNTA(G2:G100)</f>
        <v/>
      </c>
      <c r="AL2" s="18">
        <f t="array" ref="AL2:AL84">_xlfn._xlws.FILTER(A2:A100,AG2:AG100="Review pending","None")</f>
        <v/>
      </c>
      <c r="AO2" s="20" t="n"/>
      <c r="AP2" s="20" t="n"/>
      <c r="AQ2" s="20" t="n"/>
      <c r="AR2" s="20" t="n"/>
      <c r="AS2" s="20" t="n"/>
      <c r="AT2" s="20" t="n"/>
      <c r="AU2" s="20" t="n"/>
      <c r="AV2" s="20" t="n"/>
      <c r="AW2" s="20" t="n"/>
      <c r="AX2" s="20" t="inlineStr">
        <is>
          <t>Background, outside main synthesis</t>
        </is>
      </c>
      <c r="AY2" s="20" t="inlineStr">
        <is>
          <t>Tighter relevance screen of supplied title, context and summary; not a new full-text assessment.</t>
        </is>
      </c>
      <c r="AZ2" s="20" t="inlineStr">
        <is>
          <t>Secondary synthesis or broad review; retain to frame or locate primary studies, outside the direct assessment-study synthesis.</t>
        </is>
      </c>
      <c r="BA2" s="20" t="inlineStr">
        <is>
          <t>Existing full-text screen recorded; not reverified in this update.</t>
        </is>
      </c>
    </row>
    <row r="3" ht="55.5" customHeight="1">
      <c r="A3" s="11" t="inlineStr">
        <is>
          <t>R02</t>
        </is>
      </c>
      <c r="B3" s="11" t="inlineStr">
        <is>
          <t>23/09/2026</t>
        </is>
      </c>
      <c r="C3" s="11" t="inlineStr">
        <is>
          <t>Group upload (shared folder)</t>
        </is>
      </c>
      <c r="D3" s="23" t="inlineStr">
        <is>
          <t>Redefining student assessment in AI-infused learning environments (second copy) Original file: Redefining_student_assessment_in_AI-infused_learni__1_.pdf</t>
        </is>
      </c>
      <c r="E3" s="11" t="inlineStr">
        <is>
          <t>Ncube et al.</t>
        </is>
      </c>
      <c r="F3" s="11" t="n">
        <v>2026</v>
      </c>
      <c r="G3" s="11" t="inlineStr">
        <is>
          <t>Redefining student assessment in AI-infused learning environments (second copy)</t>
        </is>
      </c>
      <c r="H3" s="11" t="inlineStr">
        <is>
          <t>AI and Ethics</t>
        </is>
      </c>
      <c r="I3" s="11" t="inlineStr">
        <is>
          <t>https://doi.org/10.1007/s43681-025-00871-w</t>
        </is>
      </c>
      <c r="J3" s="11" t="inlineStr">
        <is>
          <t>Journal article</t>
        </is>
      </c>
      <c r="K3" s="11" t="n"/>
      <c r="L3" s="11" t="n"/>
      <c r="M3" s="11" t="inlineStr">
        <is>
          <t>Yes</t>
        </is>
      </c>
      <c r="N3" s="11" t="inlineStr">
        <is>
          <t>R01</t>
        </is>
      </c>
      <c r="O3" s="11" t="inlineStr">
        <is>
          <t>N/A</t>
        </is>
      </c>
      <c r="P3" s="11" t="n"/>
      <c r="Q3" s="11" t="n"/>
      <c r="R3" s="12">
        <f>IF(M3="Yes","Duplicate",IF(O3="Exclude","Exclude",IF(P3="","Pending",P3)))</f>
        <v/>
      </c>
      <c r="S3" s="11" t="inlineStr">
        <is>
          <t>Low</t>
        </is>
      </c>
      <c r="T3" s="11" t="n"/>
      <c r="U3" s="11" t="inlineStr">
        <is>
          <t>Identical file to R01.</t>
        </is>
      </c>
      <c r="V3" s="11" t="inlineStr">
        <is>
          <t>PA</t>
        </is>
      </c>
      <c r="W3" s="11" t="inlineStr">
        <is>
          <t>Removed as duplicate.</t>
        </is>
      </c>
      <c r="Y3" s="19" t="n"/>
      <c r="Z3" s="19" t="n"/>
      <c r="AA3" s="19" t="n"/>
      <c r="AB3" s="19" t="n"/>
      <c r="AD3" s="20">
        <f>IF(G3="","",IF(F3="","",IF(AND(F3&gt;=2022,F3&lt;=2024),"Review 2026 applicability","")))</f>
        <v/>
      </c>
      <c r="AE3" s="20">
        <f>IF(G3="","",IF(OR(E3="",F3="",I3="",V3=""),"Missing author/year/link/screener",""))</f>
        <v/>
      </c>
      <c r="AF3" s="20">
        <f>IF(G3="","",IF(I3="","",IF(COUNTIF($I$2:$I$100,I3)&gt;1,"Check duplicate","")))</f>
        <v/>
      </c>
      <c r="AG3" s="20">
        <f>IF(G3="","",IF(M3="Yes","Duplicate",IF(OR(R3="",R3="Pending"),"Review pending","")))</f>
        <v/>
      </c>
      <c r="AI3" s="18" t="inlineStr">
        <is>
          <t>Main-synthesis Include</t>
        </is>
      </c>
      <c r="AJ3" s="18">
        <f>COUNTIF(R2:R100,"Include")</f>
        <v/>
      </c>
      <c r="AL3" s="18" t="inlineStr">
        <is>
          <t>R96</t>
        </is>
      </c>
      <c r="AO3" s="20" t="n"/>
      <c r="AP3" s="20" t="n"/>
      <c r="AQ3" s="20" t="n"/>
      <c r="AR3" s="20" t="n"/>
      <c r="AS3" s="20" t="n"/>
      <c r="AT3" s="20" t="n"/>
      <c r="AU3" s="20" t="n"/>
      <c r="AV3" s="20" t="n"/>
      <c r="AW3" s="20" t="n"/>
      <c r="AX3" s="20" t="n"/>
      <c r="AY3" s="20" t="n"/>
      <c r="AZ3" s="20" t="n"/>
      <c r="BA3" s="20" t="n"/>
    </row>
    <row r="4" ht="99.95" customHeight="1">
      <c r="A4" s="11" t="inlineStr">
        <is>
          <t>R03</t>
        </is>
      </c>
      <c r="B4" s="11" t="inlineStr">
        <is>
          <t>23/09/2026</t>
        </is>
      </c>
      <c r="C4" s="11" t="inlineStr">
        <is>
          <t>Group upload (shared folder)</t>
        </is>
      </c>
      <c r="D4" s="23" t="inlineStr">
        <is>
          <t>A scoping review on how generative artificial intelligence transforms assessment in higher education Original file: s41239-024-00468-z.pdf</t>
        </is>
      </c>
      <c r="E4" s="11" t="inlineStr">
        <is>
          <t>Xia, Weng, Ouyang, Lin &amp; Chiu</t>
        </is>
      </c>
      <c r="F4" s="11" t="n">
        <v>2024</v>
      </c>
      <c r="G4" s="11" t="inlineStr">
        <is>
          <t>A scoping review on how generative artificial intelligence transforms assessment in higher education</t>
        </is>
      </c>
      <c r="H4" s="11" t="inlineStr">
        <is>
          <t>Int. J. of Educational Technology in Higher Education, 21, Article 40</t>
        </is>
      </c>
      <c r="I4" s="11" t="inlineStr">
        <is>
          <t>https://doi.org/10.1186/s41239-024-00468-z</t>
        </is>
      </c>
      <c r="J4" s="11" t="inlineStr">
        <is>
          <t>Journal article</t>
        </is>
      </c>
      <c r="K4" s="11" t="inlineStr">
        <is>
          <t>Scoping review (PRISMA-ScR), 32 empirical studies</t>
        </is>
      </c>
      <c r="L4" s="11" t="inlineStr">
        <is>
          <t>Higher education, 11 disciplines incl. computer science</t>
        </is>
      </c>
      <c r="M4" s="11" t="inlineStr">
        <is>
          <t>No</t>
        </is>
      </c>
      <c r="N4" s="11" t="n"/>
      <c r="O4" s="11" t="inlineStr">
        <is>
          <t>Include</t>
        </is>
      </c>
      <c r="P4" s="11" t="inlineStr">
        <is>
          <t>Include</t>
        </is>
      </c>
      <c r="Q4" s="11" t="n"/>
      <c r="R4" s="12" t="inlineStr">
        <is>
          <t>Background</t>
        </is>
      </c>
      <c r="S4" s="11" t="inlineStr">
        <is>
          <t>High</t>
        </is>
      </c>
      <c r="T4" s="11" t="inlineStr">
        <is>
          <t>T1, T2, T6</t>
        </is>
      </c>
      <c r="U4" s="11" t="inlineStr">
        <is>
          <t>Maps GenAI impact at student, teacher and institution levels. Integrity is the main student-level concern; teachers need assessment and AI literacy; institutions must rethink assessment policy.</t>
        </is>
      </c>
      <c r="V4" s="11" t="inlineStr">
        <is>
          <t>PA</t>
        </is>
      </c>
      <c r="W4" s="11" t="inlineStr">
        <is>
          <t>Useful three-level structure for our analysis. 2022-2024 flag: Review applicability to 2026 GenAI during extraction; document specific limitations.
16/10/2026 relevance decision: Include. Addresses assessment design, verification of understanding, assessment validity or integrity in AI-rich education.
Revised strict-scope decision: Background only. Secondary synthesis or broad review; retain to frame or locate primary studies, outside the direct assessment-study synthesis.</t>
        </is>
      </c>
      <c r="Y4" s="20" t="n"/>
      <c r="Z4" s="20" t="n"/>
      <c r="AA4" s="20" t="n"/>
      <c r="AB4" s="20" t="n"/>
      <c r="AD4" s="20">
        <f>IF(G4="","",IF(F4="","",IF(AND(F4&gt;=2022,F4&lt;=2024),"Review 2026 applicability","")))</f>
        <v/>
      </c>
      <c r="AE4" s="20">
        <f>IF(G4="","",IF(OR(E4="",F4="",I4="",V4=""),"Missing author/year/link/screener",""))</f>
        <v/>
      </c>
      <c r="AF4" s="20">
        <f>IF(G4="","",IF(I4="","",IF(COUNTIF($I$2:$I$100,I4)&gt;1,"Check duplicate","")))</f>
        <v/>
      </c>
      <c r="AG4" s="20">
        <f>IF(G4="","",IF(M4="Yes","Duplicate",IF(OR(R4="",R4="Pending"),"Review pending","")))</f>
        <v/>
      </c>
      <c r="AI4" s="18" t="inlineStr">
        <is>
          <t>Excluded</t>
        </is>
      </c>
      <c r="AJ4" s="18">
        <f>COUNTIF(R2:R100,"Exclude")</f>
        <v/>
      </c>
      <c r="AL4" s="18" t="inlineStr">
        <is>
          <t>R96</t>
        </is>
      </c>
      <c r="AO4" s="20" t="n"/>
      <c r="AP4" s="20" t="n"/>
      <c r="AQ4" s="20" t="n"/>
      <c r="AR4" s="20" t="n"/>
      <c r="AS4" s="20" t="n"/>
      <c r="AT4" s="20" t="n"/>
      <c r="AU4" s="20" t="n"/>
      <c r="AV4" s="20" t="n"/>
      <c r="AW4" s="20" t="n"/>
      <c r="AX4" s="20" t="inlineStr">
        <is>
          <t>Background, outside main synthesis</t>
        </is>
      </c>
      <c r="AY4" s="20" t="inlineStr">
        <is>
          <t>Tighter relevance screen of supplied title, context and summary; not a new full-text assessment.</t>
        </is>
      </c>
      <c r="AZ4" s="20" t="inlineStr">
        <is>
          <t>Secondary synthesis or broad review; retain to frame or locate primary studies, outside the direct assessment-study synthesis.</t>
        </is>
      </c>
      <c r="BA4" s="20" t="inlineStr">
        <is>
          <t>Existing full-text screen recorded; not reverified in this update.</t>
        </is>
      </c>
    </row>
    <row r="5" ht="99.95" customHeight="1">
      <c r="A5" s="11" t="inlineStr">
        <is>
          <t>R04</t>
        </is>
      </c>
      <c r="B5" s="11" t="inlineStr">
        <is>
          <t>23/09/2026</t>
        </is>
      </c>
      <c r="C5" s="11" t="inlineStr">
        <is>
          <t>Group upload (shared folder)</t>
        </is>
      </c>
      <c r="D5" s="23" t="inlineStr">
        <is>
          <t>Designing assessments in the generative AI era: A tailored assessment framework for ICT tertiary education Original file: Ahangama__2026_.pdf</t>
        </is>
      </c>
      <c r="E5" s="11" t="inlineStr">
        <is>
          <t>Ahangama</t>
        </is>
      </c>
      <c r="F5" s="11" t="n">
        <v>2026</v>
      </c>
      <c r="G5" s="11" t="inlineStr">
        <is>
          <t>Designing assessments in the generative AI era: A tailored assessment framework for ICT tertiary education</t>
        </is>
      </c>
      <c r="H5" s="11" t="inlineStr">
        <is>
          <t>Int. J. of Educational Technology in Higher Education, 23, Article 9</t>
        </is>
      </c>
      <c r="I5" s="11" t="inlineStr">
        <is>
          <t>https://doi.org/10.1186/s41239-026-00582-0</t>
        </is>
      </c>
      <c r="J5" s="11" t="inlineStr">
        <is>
          <t>Journal article</t>
        </is>
      </c>
      <c r="K5" s="11" t="inlineStr">
        <is>
          <t>Qualitative document analysis (thematic), framework development</t>
        </is>
      </c>
      <c r="L5" s="11" t="inlineStr">
        <is>
          <t>ICT tertiary education, Australia</t>
        </is>
      </c>
      <c r="M5" s="11" t="inlineStr">
        <is>
          <t>No</t>
        </is>
      </c>
      <c r="N5" s="11" t="n"/>
      <c r="O5" s="11" t="inlineStr">
        <is>
          <t>Include</t>
        </is>
      </c>
      <c r="P5" s="11" t="inlineStr">
        <is>
          <t>Include</t>
        </is>
      </c>
      <c r="Q5" s="11" t="n"/>
      <c r="R5" s="12" t="inlineStr">
        <is>
          <t>Include</t>
        </is>
      </c>
      <c r="S5" s="11" t="inlineStr">
        <is>
          <t>High</t>
        </is>
      </c>
      <c r="T5" s="11" t="inlineStr">
        <is>
          <t>T2, T4, T5, T6</t>
        </is>
      </c>
      <c r="U5" s="11" t="inlineStr">
        <is>
          <t>Proposes the GENESIS five-pillar institutional framework and an Assessment Design Matrix linking ICT graduate competencies, strategies and methods for integrity-focused assessment.</t>
        </is>
      </c>
      <c r="V5" s="11" t="inlineStr">
        <is>
          <t>PA</t>
        </is>
      </c>
      <c r="W5" s="11" t="inlineStr">
        <is>
          <t>Most directly on-topic (ICT + assessment design).
16/10/2026 relevance decision: Include. Addresses assessment design, verification of understanding, assessment validity or integrity in AI-rich education.
Revised strict-scope decision: Include in main synthesis. ICT-specific assessment-design framework; retain as conceptual design evidence, not an effectiveness trial.</t>
        </is>
      </c>
      <c r="Y5" s="20" t="n"/>
      <c r="Z5" s="20" t="n"/>
      <c r="AA5" s="20" t="n"/>
      <c r="AB5" s="20" t="n"/>
      <c r="AD5" s="20">
        <f>IF(G5="","",IF(F5="","",IF(AND(F5&gt;=2022,F5&lt;=2024),"Review 2026 applicability","")))</f>
        <v/>
      </c>
      <c r="AE5" s="20">
        <f>IF(G5="","",IF(OR(E5="",F5="",I5="",V5=""),"Missing author/year/link/screener",""))</f>
        <v/>
      </c>
      <c r="AF5" s="20">
        <f>IF(G5="","",IF(I5="","",IF(COUNTIF($I$2:$I$100,I5)&gt;1,"Check duplicate","")))</f>
        <v/>
      </c>
      <c r="AG5" s="20">
        <f>IF(G5="","",IF(M5="Yes","Duplicate",IF(OR(R5="",R5="Pending"),"Review pending","")))</f>
        <v/>
      </c>
      <c r="AI5" s="18" t="inlineStr">
        <is>
          <t>Duplicates</t>
        </is>
      </c>
      <c r="AJ5" s="18">
        <f>COUNTIF(M2:M100,"Yes")</f>
        <v/>
      </c>
      <c r="AL5" s="18" t="inlineStr">
        <is>
          <t>R96</t>
        </is>
      </c>
      <c r="AO5" s="20" t="n"/>
      <c r="AP5" s="20" t="n"/>
      <c r="AQ5" s="20" t="n"/>
      <c r="AR5" s="20" t="n"/>
      <c r="AS5" s="20" t="n"/>
      <c r="AT5" s="20" t="n"/>
      <c r="AU5" s="20" t="n"/>
      <c r="AV5" s="20" t="n"/>
      <c r="AW5" s="20" t="n"/>
      <c r="AX5" s="20" t="inlineStr">
        <is>
          <t>Main synthesis, design / preliminary evidence</t>
        </is>
      </c>
      <c r="AY5" s="20" t="inlineStr">
        <is>
          <t>Tighter relevance screen of supplied title, context and summary; not a new full-text assessment.</t>
        </is>
      </c>
      <c r="AZ5" s="20" t="inlineStr">
        <is>
          <t>ICT-specific assessment-design framework; retain as conceptual design evidence, not an effectiveness trial.</t>
        </is>
      </c>
      <c r="BA5" s="20" t="inlineStr">
        <is>
          <t>Existing full-text screen recorded; not reverified in this update.</t>
        </is>
      </c>
    </row>
    <row r="6" ht="99.95" customHeight="1">
      <c r="A6" s="11" t="inlineStr">
        <is>
          <t>R05</t>
        </is>
      </c>
      <c r="B6" s="11" t="inlineStr">
        <is>
          <t>23/09/2026</t>
        </is>
      </c>
      <c r="C6" s="11" t="inlineStr">
        <is>
          <t>Group upload (shared folder)</t>
        </is>
      </c>
      <c r="D6" s="23" t="inlineStr">
        <is>
          <t>Designing assessments in the generative AI era (second copy) Original file: s41239-026-00582-0.pdf</t>
        </is>
      </c>
      <c r="E6" s="11" t="inlineStr">
        <is>
          <t>Ahangama</t>
        </is>
      </c>
      <c r="F6" s="11" t="n">
        <v>2026</v>
      </c>
      <c r="G6" s="11" t="inlineStr">
        <is>
          <t>Designing assessments in the generative AI era (second copy)</t>
        </is>
      </c>
      <c r="H6" s="11" t="inlineStr">
        <is>
          <t>IJETHE</t>
        </is>
      </c>
      <c r="I6" s="11" t="inlineStr">
        <is>
          <t>https://doi.org/10.1186/s41239-026-00582-0</t>
        </is>
      </c>
      <c r="J6" s="11" t="inlineStr">
        <is>
          <t>Journal article</t>
        </is>
      </c>
      <c r="K6" s="11" t="n"/>
      <c r="L6" s="11" t="n"/>
      <c r="M6" s="11" t="inlineStr">
        <is>
          <t>Yes</t>
        </is>
      </c>
      <c r="N6" s="11" t="inlineStr">
        <is>
          <t>R04</t>
        </is>
      </c>
      <c r="O6" s="11" t="inlineStr">
        <is>
          <t>N/A</t>
        </is>
      </c>
      <c r="P6" s="11" t="n"/>
      <c r="Q6" s="11" t="n"/>
      <c r="R6" s="12">
        <f>IF(M6="Yes","Duplicate",IF(O6="Exclude","Exclude",IF(P6="","Pending",P6)))</f>
        <v/>
      </c>
      <c r="S6" s="11" t="inlineStr">
        <is>
          <t>Low</t>
        </is>
      </c>
      <c r="T6" s="11" t="n"/>
      <c r="U6" s="11" t="inlineStr">
        <is>
          <t>Identical file to R04.</t>
        </is>
      </c>
      <c r="V6" s="11" t="inlineStr">
        <is>
          <t>PA</t>
        </is>
      </c>
      <c r="W6" s="11" t="inlineStr">
        <is>
          <t>Removed as duplicate.</t>
        </is>
      </c>
      <c r="Y6" s="20" t="n"/>
      <c r="Z6" s="20" t="n"/>
      <c r="AA6" s="20" t="n"/>
      <c r="AB6" s="20" t="n"/>
      <c r="AD6" s="20">
        <f>IF(G6="","",IF(F6="","",IF(AND(F6&gt;=2022,F6&lt;=2024),"Review 2026 applicability","")))</f>
        <v/>
      </c>
      <c r="AE6" s="20">
        <f>IF(G6="","",IF(OR(E6="",F6="",I6="",V6=""),"Missing author/year/link/screener",""))</f>
        <v/>
      </c>
      <c r="AF6" s="20">
        <f>IF(G6="","",IF(I6="","",IF(COUNTIF($I$2:$I$100,I6)&gt;1,"Check duplicate","")))</f>
        <v/>
      </c>
      <c r="AG6" s="20">
        <f>IF(G6="","",IF(M6="Yes","Duplicate",IF(OR(R6="",R6="Pending"),"Review pending","")))</f>
        <v/>
      </c>
      <c r="AI6" s="18" t="inlineStr">
        <is>
          <t>Pending (incl. blank decision)</t>
        </is>
      </c>
      <c r="AJ6" s="18">
        <f>COUNTIF(AG2:AG100,"Review pending")</f>
        <v/>
      </c>
      <c r="AL6" s="18" t="inlineStr">
        <is>
          <t>R96</t>
        </is>
      </c>
      <c r="AO6" s="20" t="n"/>
      <c r="AP6" s="20" t="n"/>
      <c r="AQ6" s="20" t="n"/>
      <c r="AR6" s="20" t="n"/>
      <c r="AS6" s="20" t="n"/>
      <c r="AT6" s="20" t="n"/>
      <c r="AU6" s="20" t="n"/>
      <c r="AV6" s="20" t="n"/>
      <c r="AW6" s="20" t="n"/>
      <c r="AX6" s="20" t="n"/>
      <c r="AY6" s="20" t="n"/>
      <c r="AZ6" s="20" t="n"/>
      <c r="BA6" s="20" t="n"/>
    </row>
    <row r="7" ht="99.95" customHeight="1">
      <c r="A7" s="11" t="inlineStr">
        <is>
          <t>R06</t>
        </is>
      </c>
      <c r="B7" s="11" t="inlineStr">
        <is>
          <t>23/09/2026</t>
        </is>
      </c>
      <c r="C7" s="11" t="inlineStr">
        <is>
          <t>Group upload (shared folder)</t>
        </is>
      </c>
      <c r="D7" s="23" t="inlineStr">
        <is>
          <t>Designing assessments in the generative AI era (third copy) Original file: s41239-026-00582-0__1_.pdf</t>
        </is>
      </c>
      <c r="E7" s="11" t="inlineStr">
        <is>
          <t>Ahangama</t>
        </is>
      </c>
      <c r="F7" s="11" t="n">
        <v>2026</v>
      </c>
      <c r="G7" s="11" t="inlineStr">
        <is>
          <t>Designing assessments in the generative AI era (third copy)</t>
        </is>
      </c>
      <c r="H7" s="11" t="inlineStr">
        <is>
          <t>IJETHE</t>
        </is>
      </c>
      <c r="I7" s="11" t="inlineStr">
        <is>
          <t>https://doi.org/10.1186/s41239-026-00582-0</t>
        </is>
      </c>
      <c r="J7" s="11" t="inlineStr">
        <is>
          <t>Journal article</t>
        </is>
      </c>
      <c r="K7" s="11" t="n"/>
      <c r="L7" s="11" t="n"/>
      <c r="M7" s="11" t="inlineStr">
        <is>
          <t>Yes</t>
        </is>
      </c>
      <c r="N7" s="11" t="inlineStr">
        <is>
          <t>R04</t>
        </is>
      </c>
      <c r="O7" s="11" t="inlineStr">
        <is>
          <t>N/A</t>
        </is>
      </c>
      <c r="P7" s="11" t="n"/>
      <c r="Q7" s="11" t="n"/>
      <c r="R7" s="12">
        <f>IF(M7="Yes","Duplicate",IF(O7="Exclude","Exclude",IF(P7="","Pending",P7)))</f>
        <v/>
      </c>
      <c r="S7" s="11" t="inlineStr">
        <is>
          <t>Low</t>
        </is>
      </c>
      <c r="T7" s="11" t="n"/>
      <c r="U7" s="11" t="inlineStr">
        <is>
          <t>Identical file to R04.</t>
        </is>
      </c>
      <c r="V7" s="11" t="inlineStr">
        <is>
          <t>PA</t>
        </is>
      </c>
      <c r="W7" s="11" t="inlineStr">
        <is>
          <t>Removed as duplicate.</t>
        </is>
      </c>
      <c r="Y7" s="20" t="n"/>
      <c r="Z7" s="20" t="n"/>
      <c r="AA7" s="20" t="n"/>
      <c r="AB7" s="20" t="n"/>
      <c r="AD7" s="20">
        <f>IF(G7="","",IF(F7="","",IF(AND(F7&gt;=2022,F7&lt;=2024),"Review 2026 applicability","")))</f>
        <v/>
      </c>
      <c r="AE7" s="20">
        <f>IF(G7="","",IF(OR(E7="",F7="",I7="",V7=""),"Missing author/year/link/screener",""))</f>
        <v/>
      </c>
      <c r="AF7" s="20">
        <f>IF(G7="","",IF(I7="","",IF(COUNTIF($I$2:$I$100,I7)&gt;1,"Check duplicate","")))</f>
        <v/>
      </c>
      <c r="AG7" s="20">
        <f>IF(G7="","",IF(M7="Yes","Duplicate",IF(OR(R7="",R7="Pending"),"Review pending","")))</f>
        <v/>
      </c>
      <c r="AI7" t="inlineStr">
        <is>
          <t>Background only</t>
        </is>
      </c>
      <c r="AJ7">
        <f>COUNTIF(R2:R100,"Background")</f>
        <v/>
      </c>
      <c r="AL7" s="18" t="inlineStr">
        <is>
          <t>R96</t>
        </is>
      </c>
      <c r="AO7" s="20" t="n"/>
      <c r="AP7" s="20" t="n"/>
      <c r="AQ7" s="20" t="n"/>
      <c r="AR7" s="20" t="n"/>
      <c r="AS7" s="20" t="n"/>
      <c r="AT7" s="20" t="n"/>
      <c r="AU7" s="20" t="n"/>
      <c r="AV7" s="20" t="n"/>
      <c r="AW7" s="20" t="n"/>
      <c r="AX7" s="20" t="n"/>
      <c r="AY7" s="20" t="n"/>
      <c r="AZ7" s="20" t="n"/>
      <c r="BA7" s="20" t="n"/>
    </row>
    <row r="8" ht="99.95" customHeight="1">
      <c r="A8" s="11" t="inlineStr">
        <is>
          <t>R07</t>
        </is>
      </c>
      <c r="B8" s="11" t="inlineStr">
        <is>
          <t>23/09/2026</t>
        </is>
      </c>
      <c r="C8" s="11" t="inlineStr">
        <is>
          <t>Group upload (shared folder)</t>
        </is>
      </c>
      <c r="D8" s="23" t="inlineStr">
        <is>
          <t>Assessment in the age of artificial intelligence Original file: Assessment_in_the_age_of_artificial_intelligence.pdf</t>
        </is>
      </c>
      <c r="E8" s="11" t="inlineStr">
        <is>
          <t>Swiecki, Khosravi, Chen, Martinez-Maldonado, Lodge, Milligan, Selwyn &amp; Gašević</t>
        </is>
      </c>
      <c r="F8" s="11" t="n">
        <v>2022</v>
      </c>
      <c r="G8" s="11" t="inlineStr">
        <is>
          <t>Assessment in the age of artificial intelligence</t>
        </is>
      </c>
      <c r="H8" s="11" t="inlineStr">
        <is>
          <t>Computers and Education: Artificial Intelligence, 3, 100075</t>
        </is>
      </c>
      <c r="I8" s="11" t="inlineStr">
        <is>
          <t>https://doi.org/10.1016/j.caeai.2022.100075</t>
        </is>
      </c>
      <c r="J8" s="11" t="inlineStr">
        <is>
          <t>Journal article</t>
        </is>
      </c>
      <c r="K8" s="11" t="inlineStr">
        <is>
          <t>Conceptual / critical review</t>
        </is>
      </c>
      <c r="L8" s="11" t="inlineStr">
        <is>
          <t>Education (general), Australia</t>
        </is>
      </c>
      <c r="M8" s="11" t="inlineStr">
        <is>
          <t>No</t>
        </is>
      </c>
      <c r="N8" s="11" t="n"/>
      <c r="O8" s="11" t="inlineStr">
        <is>
          <t>Include</t>
        </is>
      </c>
      <c r="P8" s="11" t="inlineStr">
        <is>
          <t>Include</t>
        </is>
      </c>
      <c r="Q8" s="11" t="n"/>
      <c r="R8" s="12" t="inlineStr">
        <is>
          <t>Background</t>
        </is>
      </c>
      <c r="S8" s="11" t="inlineStr">
        <is>
          <t>Medium</t>
        </is>
      </c>
      <c r="T8" s="11" t="inlineStr">
        <is>
          <t>T1, T2, T6</t>
        </is>
      </c>
      <c r="U8" s="11" t="inlineStr">
        <is>
          <t>Argues traditional assessment is onerous, discrete, uniform, inauthentic and antiquated; AI can help but brings risks such as hidden accountability, surveillance and narrower forms of learning.</t>
        </is>
      </c>
      <c r="V8" s="11" t="inlineStr">
        <is>
          <t>PA</t>
        </is>
      </c>
      <c r="W8" s="11" t="inlineStr">
        <is>
          <t>Pre-ChatGPT; use for background and theory. 2022-2024 flag: Review applicability to 2026 GenAI during extraction; document specific limitations.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Y8" s="20" t="n"/>
      <c r="Z8" s="20" t="n"/>
      <c r="AA8" s="20" t="n"/>
      <c r="AB8" s="20" t="n"/>
      <c r="AD8" s="20">
        <f>IF(G8="","",IF(F8="","",IF(AND(F8&gt;=2022,F8&lt;=2024),"Review 2026 applicability","")))</f>
        <v/>
      </c>
      <c r="AE8" s="20" t="n"/>
      <c r="AF8" s="20">
        <f>IF(G8="","",IF(I8="","",IF(COUNTIF($I$2:$I$100,I8)&gt;1,"Check duplicate","")))</f>
        <v/>
      </c>
      <c r="AG8" s="20">
        <f>IF(G8="","",IF(M8="Yes","Duplicate",IF(OR(R8="",R8="Pending"),"Review pending","")))</f>
        <v/>
      </c>
      <c r="AL8" s="18" t="inlineStr">
        <is>
          <t>R96</t>
        </is>
      </c>
      <c r="AO8" s="20" t="n"/>
      <c r="AP8" s="20" t="n"/>
      <c r="AQ8" s="20" t="n"/>
      <c r="AR8" s="20" t="n"/>
      <c r="AS8" s="20" t="n"/>
      <c r="AT8" s="20" t="n"/>
      <c r="AU8" s="20" t="n"/>
      <c r="AV8" s="20" t="n"/>
      <c r="AW8" s="20" t="n"/>
      <c r="AX8" s="20" t="inlineStr">
        <is>
          <t>Background, outside main synthesis</t>
        </is>
      </c>
      <c r="AY8" s="20" t="inlineStr">
        <is>
          <t>Tighter relevance screen of supplied title, context and summary; not a new full-text assessment.</t>
        </is>
      </c>
      <c r="AZ8" s="20" t="inlineStr">
        <is>
          <t>Broad AI, learning, literacy or policy context, or insufficient direct assessment-design evidence in the supplied summary; retain for background only.</t>
        </is>
      </c>
      <c r="BA8" s="20" t="inlineStr">
        <is>
          <t>Existing full-text screen recorded; not reverified in this update.</t>
        </is>
      </c>
    </row>
    <row r="9" ht="65.09999999999999" customHeight="1">
      <c r="A9" s="11" t="inlineStr">
        <is>
          <t>R08</t>
        </is>
      </c>
      <c r="B9" s="11" t="inlineStr">
        <is>
          <t>23/09/2026</t>
        </is>
      </c>
      <c r="C9" s="11" t="inlineStr">
        <is>
          <t>Group upload (shared folder)</t>
        </is>
      </c>
      <c r="D9" s="23" t="inlineStr">
        <is>
          <t>Computing education in the era of generative AI Original file: Computing_education_in_the_era_of_GenAI-01.pdf</t>
        </is>
      </c>
      <c r="E9" s="11" t="inlineStr">
        <is>
          <t>Denny, Prather, Becker, Finnie-Ansley, Hellas, Leinonen, Luxton-Reilly, Reeves, Santos &amp; Sarsa</t>
        </is>
      </c>
      <c r="F9" s="11" t="n">
        <v>2024</v>
      </c>
      <c r="G9" s="11" t="inlineStr">
        <is>
          <t>Computing education in the era of generative AI</t>
        </is>
      </c>
      <c r="H9" s="11" t="inlineStr">
        <is>
          <t>Communications of the ACM, 67(2), 56-67</t>
        </is>
      </c>
      <c r="I9" s="11" t="inlineStr">
        <is>
          <t>https://doi.org/10.1145/3624720</t>
        </is>
      </c>
      <c r="J9" s="11" t="inlineStr">
        <is>
          <t>Journal article</t>
        </is>
      </c>
      <c r="K9" s="11" t="inlineStr">
        <is>
          <t>Review / position paper drawing on authors' empirical studies</t>
        </is>
      </c>
      <c r="L9" s="11" t="inlineStr">
        <is>
          <t>Introductory programming (CS1/CS2)</t>
        </is>
      </c>
      <c r="M9" s="11" t="inlineStr">
        <is>
          <t>No</t>
        </is>
      </c>
      <c r="N9" s="11" t="n"/>
      <c r="O9" s="11" t="inlineStr">
        <is>
          <t>Include</t>
        </is>
      </c>
      <c r="P9" s="11" t="inlineStr">
        <is>
          <t>Include</t>
        </is>
      </c>
      <c r="Q9" s="11" t="n"/>
      <c r="R9" s="12" t="inlineStr">
        <is>
          <t>Include</t>
        </is>
      </c>
      <c r="S9" s="11" t="inlineStr">
        <is>
          <t>High</t>
        </is>
      </c>
      <c r="T9" s="11" t="inlineStr">
        <is>
          <t>T1, T3, T5</t>
        </is>
      </c>
      <c r="U9" s="11" t="inlineStr">
        <is>
          <t>GPT-4 scored close to the top of a CS1 class on real exams, and plagiarism tools miss AI code. Recommends clear AI rules per assessment, secure testing and a stronger focus on process and code-reading skills.</t>
        </is>
      </c>
      <c r="V9" s="11" t="inlineStr">
        <is>
          <t>PA</t>
        </is>
      </c>
      <c r="W9" s="11" t="inlineStr">
        <is>
          <t>Key computing evidence for why take-home coding tasks are insecure. 2022-2024 flag: Review applicability to 2026 GenAI during extraction; document specific limitations.
16/10/2026 relevance decision: Include. Addresses assessment design, verification of understanding, assessment validity or integrity in AI-rich education.
Revised strict-scope decision: Include in main synthesis. Computing-specific assessment vulnerabilities and verification recommendations; retain as review/position evidence.</t>
        </is>
      </c>
      <c r="AD9" s="20">
        <f>IF(G9="","",IF(F9="","",IF(AND(F9&gt;=2022,F9&lt;=2024),"Review 2026 applicability","")))</f>
        <v/>
      </c>
      <c r="AE9" s="20" t="n"/>
      <c r="AF9" s="20">
        <f>IF(G9="","",IF(I9="","",IF(COUNTIF($I$2:$I$100,I9)&gt;1,"Check duplicate","")))</f>
        <v/>
      </c>
      <c r="AG9" s="20">
        <f>IF(G9="","",IF(M9="Yes","Duplicate",IF(OR(R9="",R9="Pending"),"Review pending","")))</f>
        <v/>
      </c>
      <c r="AI9" s="27" t="n"/>
      <c r="AJ9" s="27" t="n"/>
      <c r="AK9" s="27" t="n"/>
      <c r="AL9" s="27" t="inlineStr">
        <is>
          <t>R96</t>
        </is>
      </c>
      <c r="AO9" s="20" t="n"/>
      <c r="AP9" s="20" t="n"/>
      <c r="AQ9" s="20" t="n"/>
      <c r="AR9" s="20" t="n"/>
      <c r="AS9" s="20" t="n"/>
      <c r="AT9" s="20" t="n"/>
      <c r="AU9" s="20" t="n"/>
      <c r="AV9" s="20" t="n"/>
      <c r="AW9" s="20" t="n"/>
      <c r="AX9" s="20" t="inlineStr">
        <is>
          <t>Main synthesis, assessment evidence</t>
        </is>
      </c>
      <c r="AY9" s="20" t="inlineStr">
        <is>
          <t>Tighter relevance screen of supplied title, context and summary; not a new full-text assessment.</t>
        </is>
      </c>
      <c r="AZ9" s="20" t="inlineStr">
        <is>
          <t>Computing-specific assessment vulnerabilities and verification recommendations; retain as review/position evidence.</t>
        </is>
      </c>
      <c r="BA9" s="20" t="inlineStr">
        <is>
          <t>Existing full-text screen recorded; not reverified in this update.</t>
        </is>
      </c>
    </row>
    <row r="10" ht="65.09999999999999" customHeight="1">
      <c r="A10" s="11" t="inlineStr">
        <is>
          <t>R09</t>
        </is>
      </c>
      <c r="B10" s="11" t="inlineStr">
        <is>
          <t>23/09/2026</t>
        </is>
      </c>
      <c r="C10" s="11" t="inlineStr">
        <is>
          <t>Group upload (shared folder)</t>
        </is>
      </c>
      <c r="D10" s="23" t="inlineStr">
        <is>
          <t>Incorporating generative AI into software development education Original file: Incorporating_Generative_AI_into_Software_Development_Education.pdf</t>
        </is>
      </c>
      <c r="E10" s="11" t="inlineStr">
        <is>
          <t>Petrovska, Clift, Moller &amp; Pearsall</t>
        </is>
      </c>
      <c r="F10" s="11" t="n">
        <v>2024</v>
      </c>
      <c r="G10" s="11" t="inlineStr">
        <is>
          <t>Incorporating generative AI into software development education</t>
        </is>
      </c>
      <c r="H10" s="11" t="inlineStr">
        <is>
          <t>Proceedings of Computing Education Practice (CEP '24), 37-40</t>
        </is>
      </c>
      <c r="I10" s="11" t="inlineStr">
        <is>
          <t>https://doi.org/10.1145/3633053.3633057</t>
        </is>
      </c>
      <c r="J10" s="11" t="inlineStr">
        <is>
          <t>Conference paper</t>
        </is>
      </c>
      <c r="K10" s="11" t="inlineStr">
        <is>
          <t>Surveys (first-year n=12, final-year n=12, industry n=13) plus experimental summative assessment (n=17)</t>
        </is>
      </c>
      <c r="L10" s="11" t="inlineStr">
        <is>
          <t>Software engineering degree apprenticeship, UK</t>
        </is>
      </c>
      <c r="M10" s="11" t="inlineStr">
        <is>
          <t>No</t>
        </is>
      </c>
      <c r="N10" s="11" t="n"/>
      <c r="O10" s="11" t="inlineStr">
        <is>
          <t>Include</t>
        </is>
      </c>
      <c r="P10" s="11" t="inlineStr">
        <is>
          <t>Include</t>
        </is>
      </c>
      <c r="Q10" s="11" t="n"/>
      <c r="R10" s="12" t="inlineStr">
        <is>
          <t>Include</t>
        </is>
      </c>
      <c r="S10" s="11" t="inlineStr">
        <is>
          <t>High</t>
        </is>
      </c>
      <c r="T10" s="11" t="inlineStr">
        <is>
          <t>T2, T4, T5</t>
        </is>
      </c>
      <c r="U10" s="11" t="inlineStr">
        <is>
          <t>Assessments that make students critically evaluate ChatGPT output worked well; most students spotted its weaknesses, but some over-relied on it (e.g., did not notice wrong-language code).</t>
        </is>
      </c>
      <c r="V10" s="11" t="inlineStr">
        <is>
          <t>PA</t>
        </is>
      </c>
      <c r="W10" s="11" t="inlineStr">
        <is>
          <t>Good example of an authentic AI-inclusive computing assessment. 2022-2024 flag: Review applicability to 2026 GenAI during extraction; document specific limitations.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10" s="20">
        <f>IF(G10="","",IF(F10="","",IF(AND(F10&gt;=2022,F10&lt;=2024),"Review 2026 applicability","")))</f>
        <v/>
      </c>
      <c r="AE10" s="20" t="n"/>
      <c r="AF10" s="20">
        <f>IF(G10="","",IF(I10="","",IF(COUNTIF($I$2:$I$100,I10)&gt;1,"Check duplicate","")))</f>
        <v/>
      </c>
      <c r="AG10" s="20">
        <f>IF(G10="","",IF(M10="Yes","Duplicate",IF(OR(R10="",R10="Pending"),"Review pending","")))</f>
        <v/>
      </c>
      <c r="AI10" s="27" t="n"/>
      <c r="AJ10" s="27" t="n"/>
      <c r="AK10" s="27" t="n"/>
      <c r="AL10" s="27" t="inlineStr">
        <is>
          <t>R96</t>
        </is>
      </c>
      <c r="AO10" s="20" t="n"/>
      <c r="AP10" s="20" t="n"/>
      <c r="AQ10" s="20" t="n"/>
      <c r="AR10" s="20" t="n"/>
      <c r="AS10" s="20" t="n"/>
      <c r="AT10" s="20" t="n"/>
      <c r="AU10" s="20" t="n"/>
      <c r="AV10" s="20" t="n"/>
      <c r="AW10" s="20" t="n"/>
      <c r="AX10" s="20" t="inlineStr">
        <is>
          <t>Main synthesis, assessment evidence</t>
        </is>
      </c>
      <c r="AY10" s="20" t="inlineStr">
        <is>
          <t>Tighter relevance screen of supplied title, context and summary; not a new full-text assessment.</t>
        </is>
      </c>
      <c r="AZ10" s="20" t="inlineStr">
        <is>
          <t>Direct higher-education Computing/IT evidence on assessment design, assessment security, integrity or verification of individual understanding.</t>
        </is>
      </c>
      <c r="BA10" s="20" t="inlineStr">
        <is>
          <t>Existing full-text screen recorded; not reverified in this update.</t>
        </is>
      </c>
    </row>
    <row r="11" ht="65.09999999999999" customHeight="1">
      <c r="A11" s="11" t="inlineStr">
        <is>
          <t>R10</t>
        </is>
      </c>
      <c r="B11" s="11" t="inlineStr">
        <is>
          <t>23/09/2026</t>
        </is>
      </c>
      <c r="C11" s="11" t="inlineStr">
        <is>
          <t>Group upload (shared folder)</t>
        </is>
      </c>
      <c r="D11" s="23" t="inlineStr">
        <is>
          <t>The Artificial Intelligence Assessment Scale (AIAS): A framework for ethical integration of generative AI in educational assessment Original file: JUTLP_AI_Assessment_Scale_final.pdf</t>
        </is>
      </c>
      <c r="E11" s="11" t="inlineStr">
        <is>
          <t>Perkins, Furze, Roe &amp; MacVaugh</t>
        </is>
      </c>
      <c r="F11" s="11" t="n">
        <v>2024</v>
      </c>
      <c r="G11" s="11" t="inlineStr">
        <is>
          <t>The Artificial Intelligence Assessment Scale (AIAS): A framework for ethical integration of generative AI in educational assessment</t>
        </is>
      </c>
      <c r="H11" s="11" t="inlineStr">
        <is>
          <t>Journal of University Teaching and Learning Practice, 21(6)</t>
        </is>
      </c>
      <c r="I11" s="11" t="inlineStr">
        <is>
          <t>https://doi.org/10.53761/q3azde36</t>
        </is>
      </c>
      <c r="J11" s="11" t="inlineStr">
        <is>
          <t>Journal article</t>
        </is>
      </c>
      <c r="K11" s="11" t="inlineStr">
        <is>
          <t>Conceptual framework</t>
        </is>
      </c>
      <c r="L11" s="11" t="inlineStr">
        <is>
          <t>Higher education (adaptable to K-12)</t>
        </is>
      </c>
      <c r="M11" s="11" t="inlineStr">
        <is>
          <t>No</t>
        </is>
      </c>
      <c r="N11" s="11" t="n"/>
      <c r="O11" s="11" t="inlineStr">
        <is>
          <t>Include</t>
        </is>
      </c>
      <c r="P11" s="11" t="inlineStr">
        <is>
          <t>Include</t>
        </is>
      </c>
      <c r="Q11" s="11" t="n"/>
      <c r="R11" s="12" t="inlineStr">
        <is>
          <t>Background</t>
        </is>
      </c>
      <c r="S11" s="11" t="inlineStr">
        <is>
          <t>High</t>
        </is>
      </c>
      <c r="T11" s="11" t="inlineStr">
        <is>
          <t>T4, T1</t>
        </is>
      </c>
      <c r="U11" s="11" t="inlineStr">
        <is>
          <t>Five-level scale (No AI to Full AI) so educators state exactly how much GenAI each task allows. Recommends Level 1 tasks be supervised because unsupervised 'no AI' rules cannot be enforced fairly.</t>
        </is>
      </c>
      <c r="V11" s="11" t="inlineStr">
        <is>
          <t>PA</t>
        </is>
      </c>
      <c r="W11" s="11" t="inlineStr">
        <is>
          <t>Widely used scale; candidate for our AI-use dimension. 2022-2024 flag: Review applicability to 2026 GenAI during extraction; document specific limitations.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11" s="20">
        <f>IF(G11="","",IF(F11="","",IF(AND(F11&gt;=2022,F11&lt;=2024),"Review 2026 applicability","")))</f>
        <v/>
      </c>
      <c r="AE11" s="20" t="n"/>
      <c r="AF11" s="20">
        <f>IF(G11="","",IF(I11="","",IF(COUNTIF($I$2:$I$100,I11)&gt;1,"Check duplicate","")))</f>
        <v/>
      </c>
      <c r="AG11" s="20">
        <f>IF(G11="","",IF(M11="Yes","Duplicate",IF(OR(R11="",R11="Pending"),"Review pending","")))</f>
        <v/>
      </c>
      <c r="AI11" s="27" t="n"/>
      <c r="AJ11" s="27" t="n"/>
      <c r="AK11" s="27" t="n"/>
      <c r="AL11" s="27" t="inlineStr">
        <is>
          <t>R96</t>
        </is>
      </c>
      <c r="AO11" s="20" t="n"/>
      <c r="AP11" s="20" t="n"/>
      <c r="AQ11" s="20" t="n"/>
      <c r="AR11" s="20" t="n"/>
      <c r="AS11" s="20" t="n"/>
      <c r="AT11" s="20" t="n"/>
      <c r="AU11" s="20" t="n"/>
      <c r="AV11" s="20" t="n"/>
      <c r="AW11" s="20" t="n"/>
      <c r="AX11" s="20" t="inlineStr">
        <is>
          <t>Background, outside main synthesis</t>
        </is>
      </c>
      <c r="AY11" s="20" t="inlineStr">
        <is>
          <t>Tighter relevance screen of supplied title, context and summary; not a new full-text assessment.</t>
        </is>
      </c>
      <c r="AZ11" s="20" t="inlineStr">
        <is>
          <t>Broad AI, learning, literacy or policy context, or insufficient direct assessment-design evidence in the supplied summary; retain for background only.</t>
        </is>
      </c>
      <c r="BA11" s="20" t="inlineStr">
        <is>
          <t>Existing full-text screen recorded; not reverified in this update.</t>
        </is>
      </c>
    </row>
    <row r="12" ht="65.09999999999999" customHeight="1">
      <c r="A12" s="11" t="inlineStr">
        <is>
          <t>R11</t>
        </is>
      </c>
      <c r="B12" s="11" t="inlineStr">
        <is>
          <t>23/09/2026</t>
        </is>
      </c>
      <c r="C12" s="11" t="inlineStr">
        <is>
          <t>Group upload (shared folder)</t>
        </is>
      </c>
      <c r="D12" s="23" t="inlineStr">
        <is>
          <t>Coauthorship integrity: Reconceptualising assessment validity for the age of generative artificial intelligence Original file: Ebrahimzadeh_-_Comp___Edu__2026_.pdf</t>
        </is>
      </c>
      <c r="E12" s="11" t="inlineStr">
        <is>
          <t>Ebrahimzadeh, Shibani &amp; Buckingham Shum</t>
        </is>
      </c>
      <c r="F12" s="11" t="n">
        <v>2026</v>
      </c>
      <c r="G12" s="11" t="inlineStr">
        <is>
          <t>Coauthorship integrity: Reconceptualising assessment validity for the age of generative artificial intelligence</t>
        </is>
      </c>
      <c r="H12" s="11" t="inlineStr">
        <is>
          <t>Computers and Education: Artificial Intelligence, 10, 100609</t>
        </is>
      </c>
      <c r="I12" s="11" t="inlineStr">
        <is>
          <t>https://doi.org/10.1016/j.caeai.2026.100609</t>
        </is>
      </c>
      <c r="J12" s="11" t="inlineStr">
        <is>
          <t>Journal article</t>
        </is>
      </c>
      <c r="K12" s="11" t="inlineStr">
        <is>
          <t>Conceptual + prototype (AI Viva) with expert evaluation</t>
        </is>
      </c>
      <c r="L12" s="11" t="inlineStr">
        <is>
          <t>Higher education writing, Australia</t>
        </is>
      </c>
      <c r="M12" s="11" t="inlineStr">
        <is>
          <t>No</t>
        </is>
      </c>
      <c r="N12" s="11" t="n"/>
      <c r="O12" s="11" t="inlineStr">
        <is>
          <t>Include</t>
        </is>
      </c>
      <c r="P12" s="11" t="inlineStr">
        <is>
          <t>Include</t>
        </is>
      </c>
      <c r="Q12" s="11" t="n"/>
      <c r="R12" s="12" t="inlineStr">
        <is>
          <t>Background</t>
        </is>
      </c>
      <c r="S12" s="11" t="inlineStr">
        <is>
          <t>High</t>
        </is>
      </c>
      <c r="T12" s="11" t="inlineStr">
        <is>
          <t>T1, T3</t>
        </is>
      </c>
      <c r="U12" s="11" t="inlineStr">
        <is>
          <t>Proposes 'coauthorship integrity': students must understand what they submit, even if AI helped. Tests an AI Viva chatbot that asks comprehension questions to check this at scale.</t>
        </is>
      </c>
      <c r="V12" s="11" t="inlineStr">
        <is>
          <t>PA</t>
        </is>
      </c>
      <c r="W12" s="11" t="inlineStr">
        <is>
          <t>Supports scalable oral-style verification.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12" s="20">
        <f>IF(G12="","",IF(F12="","",IF(AND(F12&gt;=2022,F12&lt;=2024),"Review 2026 applicability","")))</f>
        <v/>
      </c>
      <c r="AE12" s="20" t="n"/>
      <c r="AF12" s="20">
        <f>IF(G12="","",IF(I12="","",IF(COUNTIF($I$2:$I$100,I12)&gt;1,"Check duplicate","")))</f>
        <v/>
      </c>
      <c r="AG12" s="20">
        <f>IF(G12="","",IF(M12="Yes","Duplicate",IF(OR(R12="",R12="Pending"),"Review pending","")))</f>
        <v/>
      </c>
      <c r="AI12" s="30" t="n"/>
      <c r="AJ12" s="30" t="n"/>
      <c r="AK12" s="30" t="n"/>
      <c r="AL12" s="27" t="inlineStr">
        <is>
          <t>R96</t>
        </is>
      </c>
      <c r="AO12" s="20" t="n"/>
      <c r="AP12" s="20" t="n"/>
      <c r="AQ12" s="20" t="n"/>
      <c r="AR12" s="20" t="n"/>
      <c r="AS12" s="20" t="n"/>
      <c r="AT12" s="20" t="n"/>
      <c r="AU12" s="20" t="n"/>
      <c r="AV12" s="20" t="n"/>
      <c r="AW12" s="20" t="n"/>
      <c r="AX12" s="20" t="inlineStr">
        <is>
          <t>Background, outside main synthesis</t>
        </is>
      </c>
      <c r="AY12" s="20" t="inlineStr">
        <is>
          <t>Tighter relevance screen of supplied title, context and summary; not a new full-text assessment.</t>
        </is>
      </c>
      <c r="AZ12" s="20" t="inlineStr">
        <is>
          <t>Broad AI, learning, literacy or policy context, or insufficient direct assessment-design evidence in the supplied summary; retain for background only.</t>
        </is>
      </c>
      <c r="BA12" s="20" t="inlineStr">
        <is>
          <t>Existing full-text screen recorded; not reverified in this update.</t>
        </is>
      </c>
    </row>
    <row r="13" ht="96" customHeight="1">
      <c r="A13" s="11" t="inlineStr">
        <is>
          <t>R12</t>
        </is>
      </c>
      <c r="B13" s="11" t="inlineStr">
        <is>
          <t>23/09/2026</t>
        </is>
      </c>
      <c r="C13" s="11" t="inlineStr">
        <is>
          <t>Group upload (shared folder)</t>
        </is>
      </c>
      <c r="D13" s="23" t="inlineStr">
        <is>
          <t>How university students work on assessment tasks with generative artificial intelligence Original file: How_university_students_work_on_assessment_tasks_with_generative_artificial_intelligence.txt</t>
        </is>
      </c>
      <c r="E13" s="11" t="inlineStr">
        <is>
          <t>To be confirmed</t>
        </is>
      </c>
      <c r="F13" s="11" t="n">
        <v>2025</v>
      </c>
      <c r="G13" s="11" t="inlineStr">
        <is>
          <t>How university students work on assessment tasks with generative artificial intelligence</t>
        </is>
      </c>
      <c r="H13" s="11" t="inlineStr">
        <is>
          <t>Assessment &amp; Evaluation in Higher Education (per DOI)</t>
        </is>
      </c>
      <c r="I13" s="11" t="inlineStr">
        <is>
          <t>https://doi.org/10.1080/02602938.2025.2570328</t>
        </is>
      </c>
      <c r="J13" s="11" t="inlineStr">
        <is>
          <t>Journal article</t>
        </is>
      </c>
      <c r="K13" s="11" t="inlineStr">
        <is>
          <t>To be confirmed after full-text read</t>
        </is>
      </c>
      <c r="L13" s="11" t="inlineStr">
        <is>
          <t>Higher education</t>
        </is>
      </c>
      <c r="M13" s="11" t="inlineStr">
        <is>
          <t>No</t>
        </is>
      </c>
      <c r="N13" s="11" t="n"/>
      <c r="O13" s="11" t="inlineStr">
        <is>
          <t>Include</t>
        </is>
      </c>
      <c r="P13" s="11" t="n"/>
      <c r="Q13" s="11" t="n"/>
      <c r="R13" s="12" t="inlineStr">
        <is>
          <t>Background</t>
        </is>
      </c>
      <c r="S13" s="11" t="n"/>
      <c r="T13" s="11" t="n"/>
      <c r="U13" s="11" t="n"/>
      <c r="V13" s="11" t="inlineStr">
        <is>
          <t>PA</t>
        </is>
      </c>
      <c r="W13" s="11" t="inlineStr">
        <is>
          <t>Only a DOI link was shared. Download full text, then complete this row.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13" s="20">
        <f>IF(G13="","",IF(F13="","",IF(AND(F13&gt;=2022,F13&lt;=2024),"Review 2026 applicability","")))</f>
        <v/>
      </c>
      <c r="AE13" s="20" t="n"/>
      <c r="AF13" s="20">
        <f>IF(G13="","",IF(I13="","",IF(COUNTIF($I$2:$I$100,I13)&gt;1,"Check duplicate","")))</f>
        <v/>
      </c>
      <c r="AG13" s="20">
        <f>IF(G13="","",IF(M13="Yes","Duplicate",IF(OR(R13="",R13="Pending"),"Review pending","")))</f>
        <v/>
      </c>
      <c r="AL13" s="18" t="inlineStr">
        <is>
          <t>R96</t>
        </is>
      </c>
      <c r="AO13" s="20" t="n"/>
      <c r="AP13" s="20" t="n"/>
      <c r="AQ13" s="20" t="n"/>
      <c r="AR13" s="20" t="n"/>
      <c r="AS13" s="20" t="n"/>
      <c r="AT13" s="20" t="n"/>
      <c r="AU13" s="20" t="n"/>
      <c r="AV13" s="20" t="n"/>
      <c r="AW13" s="20" t="n"/>
      <c r="AX13" s="20" t="inlineStr">
        <is>
          <t>Background, outside main synthesis</t>
        </is>
      </c>
      <c r="AY13" s="20" t="inlineStr">
        <is>
          <t>Tighter relevance screen of supplied title, context and summary; not a new full-text assessment.</t>
        </is>
      </c>
      <c r="AZ13" s="20" t="inlineStr">
        <is>
          <t>Broad AI, learning, literacy or policy context, or insufficient direct assessment-design evidence in the supplied summary; retain for background only.</t>
        </is>
      </c>
      <c r="BA13" s="20" t="inlineStr">
        <is>
          <t>Not independently checked against original full text.</t>
        </is>
      </c>
    </row>
    <row r="14" ht="84" customHeight="1">
      <c r="A14" s="11" t="inlineStr">
        <is>
          <t>R13</t>
        </is>
      </c>
      <c r="B14" s="11" t="inlineStr">
        <is>
          <t>23/09/2026</t>
        </is>
      </c>
      <c r="C14" s="11" t="inlineStr">
        <is>
          <t>Group upload (shared folder)</t>
        </is>
      </c>
      <c r="D14" s="23" t="inlineStr">
        <is>
          <t>Are report-based assessments and viva examinations effective alternatives to written exams in computing education? Original file: research_discussion.docx</t>
        </is>
      </c>
      <c r="E14" s="11" t="inlineStr">
        <is>
          <t>ResearchGate users</t>
        </is>
      </c>
      <c r="F14" s="11" t="n">
        <v>2025</v>
      </c>
      <c r="G14" s="11" t="inlineStr">
        <is>
          <t>Are report-based assessments and viva examinations effective alternatives to written exams in computing education?</t>
        </is>
      </c>
      <c r="H14" s="11" t="inlineStr">
        <is>
          <t>ResearchGate Q&amp;A forum</t>
        </is>
      </c>
      <c r="I14" s="11" t="inlineStr">
        <is>
          <t>https://www.researchgate.net/post/Are_report-based_assessments_and_viva_examinations_effective_alternatives_to_written_exams_in_computing_education</t>
        </is>
      </c>
      <c r="J14" s="11" t="inlineStr">
        <is>
          <t>Online discussion</t>
        </is>
      </c>
      <c r="K14" s="11" t="inlineStr">
        <is>
          <t>N/A</t>
        </is>
      </c>
      <c r="L14" s="11" t="inlineStr">
        <is>
          <t>Computing education</t>
        </is>
      </c>
      <c r="M14" s="11" t="inlineStr">
        <is>
          <t>No</t>
        </is>
      </c>
      <c r="N14" s="11" t="n"/>
      <c r="O14" s="11" t="inlineStr">
        <is>
          <t>Exclude</t>
        </is>
      </c>
      <c r="P14" s="11" t="n"/>
      <c r="Q14" s="11" t="inlineStr">
        <is>
          <t>E4</t>
        </is>
      </c>
      <c r="R14" s="12" t="inlineStr">
        <is>
          <t>Exclude</t>
        </is>
      </c>
      <c r="S14" s="11" t="inlineStr">
        <is>
          <t>Low</t>
        </is>
      </c>
      <c r="T14" s="11" t="n"/>
      <c r="U14" s="11" t="n"/>
      <c r="V14" s="11" t="inlineStr">
        <is>
          <t>PA</t>
        </is>
      </c>
      <c r="W14" s="11" t="inlineStr">
        <is>
          <t>Not peer-reviewed. Year approximate. Can be cited only as informal background, not evidence.
16/10/2026 relevance decision: Exclude. Existing exclusion retained; see the original exclusion code and notes.</t>
        </is>
      </c>
      <c r="AD14" s="20">
        <f>IF(G14="","",IF(F14="","",IF(AND(F14&gt;=2022,F14&lt;=2024),"Review 2026 applicability","")))</f>
        <v/>
      </c>
      <c r="AE14" s="20" t="n"/>
      <c r="AF14" s="20">
        <f>IF(G14="","",IF(I14="","",IF(COUNTIF($I$2:$I$100,I14)&gt;1,"Check duplicate","")))</f>
        <v/>
      </c>
      <c r="AG14" s="20">
        <f>IF(G14="","",IF(M14="Yes","Duplicate",IF(OR(R14="",R14="Pending"),"Review pending","")))</f>
        <v/>
      </c>
      <c r="AL14" s="18" t="inlineStr">
        <is>
          <t>R96</t>
        </is>
      </c>
      <c r="AO14" s="20" t="n"/>
      <c r="AP14" s="20" t="n"/>
      <c r="AQ14" s="20" t="n"/>
      <c r="AR14" s="20" t="n"/>
      <c r="AS14" s="20" t="n"/>
      <c r="AT14" s="20" t="n"/>
      <c r="AU14" s="20" t="n"/>
      <c r="AV14" s="20" t="n"/>
      <c r="AW14" s="20" t="n"/>
      <c r="AX14" s="20" t="inlineStr">
        <is>
          <t>Excluded (existing decision)</t>
        </is>
      </c>
      <c r="AY14" s="20" t="inlineStr">
        <is>
          <t>Existing decision retained; supporting classification added.</t>
        </is>
      </c>
      <c r="AZ14" s="20" t="inlineStr">
        <is>
          <t>Existing exclusion retained; see the original exclusion code and notes.</t>
        </is>
      </c>
      <c r="BA14" s="20" t="inlineStr">
        <is>
          <t>Not independently checked against original full text.</t>
        </is>
      </c>
    </row>
    <row r="15" ht="48" customHeight="1">
      <c r="A15" s="11" t="inlineStr">
        <is>
          <t>R14</t>
        </is>
      </c>
      <c r="B15" s="11" t="inlineStr">
        <is>
          <t>23/09/2026</t>
        </is>
      </c>
      <c r="C15" s="11" t="inlineStr">
        <is>
          <t>Sachin, Papers Key Findings doc</t>
        </is>
      </c>
      <c r="D15" s="23" t="inlineStr">
        <is>
          <t>Themes in the declared use of generative artificial intelligence in assessment Original file: Not uploaded</t>
        </is>
      </c>
      <c r="E15" s="11" t="inlineStr">
        <is>
          <t>Maguire et al.</t>
        </is>
      </c>
      <c r="F15" s="11" t="n">
        <v>2025</v>
      </c>
      <c r="G15" s="11" t="inlineStr">
        <is>
          <t>Themes in the declared use of generative artificial intelligence in assessment</t>
        </is>
      </c>
      <c r="H15" s="11" t="inlineStr">
        <is>
          <t>ACM publication (confirm venue)</t>
        </is>
      </c>
      <c r="I15" s="11" t="inlineStr">
        <is>
          <t>https://doi.org/10.1145/3702212.3702217</t>
        </is>
      </c>
      <c r="J15" s="11" t="inlineStr">
        <is>
          <t>Conference paper</t>
        </is>
      </c>
      <c r="K15" s="11" t="inlineStr">
        <is>
          <t>To be confirmed</t>
        </is>
      </c>
      <c r="L15" s="11" t="inlineStr">
        <is>
          <t>Computing / higher education</t>
        </is>
      </c>
      <c r="M15" s="11" t="inlineStr">
        <is>
          <t>No</t>
        </is>
      </c>
      <c r="N15" s="11" t="n"/>
      <c r="O15" s="11" t="inlineStr">
        <is>
          <t>Include</t>
        </is>
      </c>
      <c r="P15" s="11" t="n"/>
      <c r="Q15" s="11" t="n"/>
      <c r="R15" s="12" t="inlineStr">
        <is>
          <t>Background</t>
        </is>
      </c>
      <c r="S15" s="11" t="n"/>
      <c r="T15" s="11" t="inlineStr">
        <is>
          <t>T4</t>
        </is>
      </c>
      <c r="U15" s="11" t="inlineStr">
        <is>
          <t>Per Sachin's summary: looks at how students declare GenAI use in assessment; supports clearly defined, transparent AI-use rules.</t>
        </is>
      </c>
      <c r="V15" s="11" t="inlineStr">
        <is>
          <t>PA</t>
        </is>
      </c>
      <c r="W15" s="11" t="inlineStr">
        <is>
          <t>Retrieve full text to confirm.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15" s="20">
        <f>IF(G15="","",IF(F15="","",IF(AND(F15&gt;=2022,F15&lt;=2024),"Review 2026 applicability","")))</f>
        <v/>
      </c>
      <c r="AE15" s="20" t="n"/>
      <c r="AF15" s="20">
        <f>IF(G15="","",IF(I15="","",IF(COUNTIF($I$2:$I$100,I15)&gt;1,"Check duplicate","")))</f>
        <v/>
      </c>
      <c r="AG15" s="20">
        <f>IF(G15="","",IF(M15="Yes","Duplicate",IF(OR(R15="",R15="Pending"),"Review pending","")))</f>
        <v/>
      </c>
      <c r="AL15" s="18" t="inlineStr">
        <is>
          <t>R96</t>
        </is>
      </c>
      <c r="AO15" s="20" t="n"/>
      <c r="AP15" s="20" t="n"/>
      <c r="AQ15" s="20" t="n"/>
      <c r="AR15" s="20" t="n"/>
      <c r="AS15" s="20" t="n"/>
      <c r="AT15" s="20" t="n"/>
      <c r="AU15" s="20" t="n"/>
      <c r="AV15" s="20" t="n"/>
      <c r="AW15" s="20" t="n"/>
      <c r="AX15" s="20" t="inlineStr">
        <is>
          <t>Background, outside main synthesis</t>
        </is>
      </c>
      <c r="AY15" s="20" t="inlineStr">
        <is>
          <t>Tighter relevance screen of supplied title, context and summary; not a new full-text assessment.</t>
        </is>
      </c>
      <c r="AZ15" s="20" t="inlineStr">
        <is>
          <t>Broad AI, learning, literacy or policy context, or insufficient direct assessment-design evidence in the supplied summary; retain for background only.</t>
        </is>
      </c>
      <c r="BA15" s="20" t="inlineStr">
        <is>
          <t>Not independently checked against original full text.</t>
        </is>
      </c>
    </row>
    <row r="16" ht="60" customHeight="1">
      <c r="A16" s="11" t="inlineStr">
        <is>
          <t>R15</t>
        </is>
      </c>
      <c r="B16" s="11" t="inlineStr">
        <is>
          <t>23/09/2026</t>
        </is>
      </c>
      <c r="C16" s="11" t="inlineStr">
        <is>
          <t>Sachin, Papers Key Findings doc</t>
        </is>
      </c>
      <c r="D16" s="23" t="inlineStr">
        <is>
          <t>The summative assessment of generative AI usage within academic writing in a computing foundation year Original file: Not uploaded</t>
        </is>
      </c>
      <c r="E16" s="11" t="inlineStr">
        <is>
          <t>Prickett &amp; Foster</t>
        </is>
      </c>
      <c r="F16" s="11" t="n">
        <v>2026</v>
      </c>
      <c r="G16" s="11" t="inlineStr">
        <is>
          <t>The summative assessment of generative AI usage within academic writing in a computing foundation year</t>
        </is>
      </c>
      <c r="H16" s="11" t="inlineStr">
        <is>
          <t>ACM publication (confirm venue)</t>
        </is>
      </c>
      <c r="I16" s="11" t="inlineStr">
        <is>
          <t>https://doi.org/10.1145/3772338.3772347</t>
        </is>
      </c>
      <c r="J16" s="11" t="inlineStr">
        <is>
          <t>Conference paper</t>
        </is>
      </c>
      <c r="K16" s="11" t="inlineStr">
        <is>
          <t>To be confirmed</t>
        </is>
      </c>
      <c r="L16" s="11" t="inlineStr">
        <is>
          <t>Computing foundation year</t>
        </is>
      </c>
      <c r="M16" s="11" t="inlineStr">
        <is>
          <t>No</t>
        </is>
      </c>
      <c r="N16" s="11" t="n"/>
      <c r="O16" s="11" t="inlineStr">
        <is>
          <t>Include</t>
        </is>
      </c>
      <c r="P16" s="11" t="n"/>
      <c r="Q16" s="11" t="n"/>
      <c r="R16" s="12" t="inlineStr">
        <is>
          <t>Include</t>
        </is>
      </c>
      <c r="S16" s="11" t="n"/>
      <c r="T16" s="11" t="inlineStr">
        <is>
          <t>T2, T4, T5</t>
        </is>
      </c>
      <c r="U16" s="11" t="inlineStr">
        <is>
          <t>Per Sachin's summary: a computing assessment where students use and critically evaluate GenAI while still showing their own understanding.</t>
        </is>
      </c>
      <c r="V16" s="11" t="inlineStr">
        <is>
          <t>PA</t>
        </is>
      </c>
      <c r="W16" s="11" t="inlineStr">
        <is>
          <t>Retrieve full text to confirm.
16/10/2026 relevance decision: Include. Addresses assessment design, verification of understanding, assessment validity or integrity in AI-rich education.
Revised strict-scope decision: Include in main synthesis. Computing-foundation-year assessment of GenAI use; relevance established from supplied title, bibliographic and full-text details still require verification.</t>
        </is>
      </c>
      <c r="AD16" s="20">
        <f>IF(G16="","",IF(F16="","",IF(AND(F16&gt;=2022,F16&lt;=2024),"Review 2026 applicability","")))</f>
        <v/>
      </c>
      <c r="AE16" s="20" t="n"/>
      <c r="AF16" s="20">
        <f>IF(G16="","",IF(I16="","",IF(COUNTIF($I$2:$I$100,I16)&gt;1,"Check duplicate","")))</f>
        <v/>
      </c>
      <c r="AG16" s="20">
        <f>IF(G16="","",IF(M16="Yes","Duplicate",IF(OR(R16="",R16="Pending"),"Review pending","")))</f>
        <v/>
      </c>
      <c r="AL16" s="18" t="inlineStr">
        <is>
          <t>R96</t>
        </is>
      </c>
      <c r="AO16" s="20" t="n"/>
      <c r="AP16" s="20" t="n"/>
      <c r="AQ16" s="20" t="n"/>
      <c r="AR16" s="20" t="n"/>
      <c r="AS16" s="20" t="n"/>
      <c r="AT16" s="20" t="n"/>
      <c r="AU16" s="20" t="n"/>
      <c r="AV16" s="20" t="n"/>
      <c r="AW16" s="20" t="n"/>
      <c r="AX16" s="20" t="inlineStr">
        <is>
          <t>Main synthesis, assessment evidence</t>
        </is>
      </c>
      <c r="AY16" s="20" t="inlineStr">
        <is>
          <t>Tighter relevance screen of supplied title, context and summary; not a new full-text assessment.</t>
        </is>
      </c>
      <c r="AZ16" s="20" t="inlineStr">
        <is>
          <t>Computing-foundation-year assessment of GenAI use; relevance established from supplied title, bibliographic and full-text details still require verification.</t>
        </is>
      </c>
      <c r="BA16" s="20" t="inlineStr">
        <is>
          <t>Not independently checked against original full text.</t>
        </is>
      </c>
    </row>
    <row r="17" ht="110.1" customHeight="1">
      <c r="A17" s="11" t="inlineStr">
        <is>
          <t>R16</t>
        </is>
      </c>
      <c r="B17" s="11" t="inlineStr">
        <is>
          <t>14/10/2026</t>
        </is>
      </c>
      <c r="C17" s="11" t="inlineStr">
        <is>
          <t>User paper list, item 1</t>
        </is>
      </c>
      <c r="D17" s="23" t="inlineStr">
        <is>
          <t>Beyond Detection: Redesigning Authentic Assessment in an AI-Mediated World Original file: Relevant Papers 2022-26(1).docx</t>
        </is>
      </c>
      <c r="E17" s="11" t="n"/>
      <c r="F17" s="11" t="n">
        <v>2025</v>
      </c>
      <c r="G17" s="11" t="inlineStr">
        <is>
          <t>Beyond Detection: Redesigning Authentic Assessment in an AI-Mediated World</t>
        </is>
      </c>
      <c r="H17" s="11" t="n"/>
      <c r="I17" s="11" t="inlineStr">
        <is>
          <t>https://doi.org/10.3390/educsci15111537</t>
        </is>
      </c>
      <c r="J17" s="11" t="inlineStr">
        <is>
          <t>Journal article (source list; verify)</t>
        </is>
      </c>
      <c r="K17" s="11" t="n"/>
      <c r="L17" s="11" t="inlineStr">
        <is>
          <t>Journal Papers</t>
        </is>
      </c>
      <c r="M17" s="11" t="inlineStr">
        <is>
          <t>No</t>
        </is>
      </c>
      <c r="N17" s="11" t="n"/>
      <c r="O17" s="11" t="inlineStr">
        <is>
          <t>Include</t>
        </is>
      </c>
      <c r="P17" s="11" t="n"/>
      <c r="Q17" s="11" t="n"/>
      <c r="R17" s="13" t="inlineStr">
        <is>
          <t>Background</t>
        </is>
      </c>
      <c r="S17" s="11" t="n"/>
      <c r="T17" s="11" t="n"/>
      <c r="U17" s="11" t="inlineStr">
        <is>
          <t>Source-list summary (not verified against full text): Discusses moving from identifying AI-written work to designing authentic tasks. Useful for establishing why assessment redesign is preferable to detection alone.</t>
        </is>
      </c>
      <c r="V17" s="11" t="n"/>
      <c r="W17" s="11" t="inlineStr">
        <is>
          <t>Imported from supplied paper list. Verify author(s), journal, year and DOI; retrieve full text, screen and extract supporting pages. No full-text review completed.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17" s="20">
        <f>IF(G17="","",IF(F17="","",IF(AND(F17&gt;=2022,F17&lt;=2024),"Review 2026 applicability","")))</f>
        <v/>
      </c>
      <c r="AE17" s="20" t="n"/>
      <c r="AF17" s="20">
        <f>IF(G17="","",IF(I17="","",IF(COUNTIF($I$2:$I$100,I17)&gt;1,"Check duplicate","")))</f>
        <v/>
      </c>
      <c r="AG17" s="20">
        <f>IF(G17="","",IF(M17="Yes","Duplicate",IF(OR(R17="",R17="Pending"),"Review pending","")))</f>
        <v/>
      </c>
      <c r="AL17" s="18" t="inlineStr">
        <is>
          <t>R96</t>
        </is>
      </c>
      <c r="AO17" s="20" t="n"/>
      <c r="AP17" s="20" t="n"/>
      <c r="AQ17" s="20" t="n"/>
      <c r="AR17" s="20" t="n"/>
      <c r="AS17" s="20" t="n"/>
      <c r="AT17" s="20" t="n"/>
      <c r="AU17" s="20" t="n"/>
      <c r="AV17" s="20" t="n"/>
      <c r="AW17" s="20" t="n"/>
      <c r="AX17" s="20" t="inlineStr">
        <is>
          <t>Background, outside main synthesis</t>
        </is>
      </c>
      <c r="AY17" s="20" t="inlineStr">
        <is>
          <t>Tighter relevance screen of supplied title, context and summary; not a new full-text assessment.</t>
        </is>
      </c>
      <c r="AZ17" s="20" t="inlineStr">
        <is>
          <t>Broad AI, learning, literacy or policy context, or insufficient direct assessment-design evidence in the supplied summary; retain for background only.</t>
        </is>
      </c>
      <c r="BA17" s="20" t="inlineStr">
        <is>
          <t>Not independently checked against original full text.</t>
        </is>
      </c>
    </row>
    <row r="18" ht="110.1" customHeight="1">
      <c r="A18" s="11" t="inlineStr">
        <is>
          <t>R17</t>
        </is>
      </c>
      <c r="B18" s="11" t="inlineStr">
        <is>
          <t>14/10/2026</t>
        </is>
      </c>
      <c r="C18" s="11" t="inlineStr">
        <is>
          <t>User paper list, item 2</t>
        </is>
      </c>
      <c r="D18" s="23" t="inlineStr">
        <is>
          <t>Assessing students’ DRIVE: A framework to evaluate learning through interactions with generative AI Original file: Group folder (1).docx</t>
        </is>
      </c>
      <c r="E18" s="11" t="n"/>
      <c r="F18" s="11" t="n">
        <v>2025</v>
      </c>
      <c r="G18" s="11" t="inlineStr">
        <is>
          <t>Assessing students’ DRIVE: A framework to evaluate learning through interactions with generative AI</t>
        </is>
      </c>
      <c r="H18" s="11" t="n"/>
      <c r="I18" s="11" t="inlineStr">
        <is>
          <t>https://doi.org/10.1016/j.caeai.2025.100497</t>
        </is>
      </c>
      <c r="J18" s="11" t="inlineStr">
        <is>
          <t>Journal article (source list; verify)</t>
        </is>
      </c>
      <c r="K18" s="11" t="n"/>
      <c r="L18" s="11" t="inlineStr">
        <is>
          <t>Journal Papers</t>
        </is>
      </c>
      <c r="M18" s="11" t="inlineStr">
        <is>
          <t>No</t>
        </is>
      </c>
      <c r="N18" s="11" t="n"/>
      <c r="O18" s="11" t="inlineStr">
        <is>
          <t>Include</t>
        </is>
      </c>
      <c r="P18" s="11" t="n"/>
      <c r="Q18" s="11" t="n"/>
      <c r="R18" s="13" t="inlineStr">
        <is>
          <t>Background</t>
        </is>
      </c>
      <c r="S18" s="11" t="n"/>
      <c r="T18" s="11" t="n"/>
      <c r="U18" s="11" t="inlineStr">
        <is>
          <t>Source-list summary (not verified against full text): Proposes evaluating learning evidence from students’ interactions with GenAI. Useful for assessing the decisions and reasoning behind AI-supported submissions.</t>
        </is>
      </c>
      <c r="V18" s="11" t="n"/>
      <c r="W18" s="11" t="inlineStr">
        <is>
          <t>Imported from supplied paper list. Verify author(s), journal, year and DOI; retrieve full text, screen and extract supporting pages. No full-text review completed.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18" s="20">
        <f>IF(G18="","",IF(F18="","",IF(AND(F18&gt;=2022,F18&lt;=2024),"Review 2026 applicability","")))</f>
        <v/>
      </c>
      <c r="AE18" s="20" t="n"/>
      <c r="AF18" s="20">
        <f>IF(G18="","",IF(I18="","",IF(COUNTIF($I$2:$I$100,I18)&gt;1,"Check duplicate","")))</f>
        <v/>
      </c>
      <c r="AG18" s="20">
        <f>IF(G18="","",IF(M18="Yes","Duplicate",IF(OR(R18="",R18="Pending"),"Review pending","")))</f>
        <v/>
      </c>
      <c r="AL18" s="18" t="inlineStr">
        <is>
          <t>R96</t>
        </is>
      </c>
      <c r="AO18" s="20" t="n"/>
      <c r="AP18" s="20" t="n"/>
      <c r="AQ18" s="20" t="n"/>
      <c r="AR18" s="20" t="n"/>
      <c r="AS18" s="20" t="n"/>
      <c r="AT18" s="20" t="n"/>
      <c r="AU18" s="20" t="n"/>
      <c r="AV18" s="20" t="n"/>
      <c r="AW18" s="20" t="n"/>
      <c r="AX18" s="20" t="inlineStr">
        <is>
          <t>Background, outside main synthesis</t>
        </is>
      </c>
      <c r="AY18" s="20" t="inlineStr">
        <is>
          <t>Tighter relevance screen of supplied title, context and summary; not a new full-text assessment.</t>
        </is>
      </c>
      <c r="AZ18" s="20" t="inlineStr">
        <is>
          <t>Broad AI, learning, literacy or policy context, or insufficient direct assessment-design evidence in the supplied summary; retain for background only.</t>
        </is>
      </c>
      <c r="BA18" s="20" t="inlineStr">
        <is>
          <t>Not independently checked against original full text.</t>
        </is>
      </c>
    </row>
    <row r="19" ht="110.1" customHeight="1">
      <c r="A19" s="11" t="inlineStr">
        <is>
          <t>R18</t>
        </is>
      </c>
      <c r="B19" s="11" t="inlineStr">
        <is>
          <t>14/10/2026</t>
        </is>
      </c>
      <c r="C19" s="11" t="inlineStr">
        <is>
          <t>User paper list, item 3</t>
        </is>
      </c>
      <c r="D19" s="23" t="inlineStr">
        <is>
          <t>A scoping review on how generative artificial intelligence transforms assessment in higher education Original file: Group folder (1).docx</t>
        </is>
      </c>
      <c r="E19" s="11" t="n"/>
      <c r="F19" s="11" t="n">
        <v>2024</v>
      </c>
      <c r="G19" s="11" t="inlineStr">
        <is>
          <t>A scoping review on how generative artificial intelligence transforms assessment in higher education</t>
        </is>
      </c>
      <c r="H19" s="11" t="n"/>
      <c r="I19" s="11" t="inlineStr">
        <is>
          <t>https://doi.org/10.1186/s41239-024-00468-z</t>
        </is>
      </c>
      <c r="J19" s="11" t="inlineStr">
        <is>
          <t>Journal article (source list; verify)</t>
        </is>
      </c>
      <c r="K19" s="11" t="n"/>
      <c r="L19" s="11" t="inlineStr">
        <is>
          <t>Journal Papers</t>
        </is>
      </c>
      <c r="M19" s="11" t="inlineStr">
        <is>
          <t>Yes</t>
        </is>
      </c>
      <c r="N19" s="11" t="inlineStr">
        <is>
          <t>R03</t>
        </is>
      </c>
      <c r="O19" s="11" t="inlineStr">
        <is>
          <t>N/A</t>
        </is>
      </c>
      <c r="P19" s="11" t="n"/>
      <c r="Q19" s="11" t="n"/>
      <c r="R19" s="13" t="inlineStr">
        <is>
          <t>Duplicate</t>
        </is>
      </c>
      <c r="S19" s="11" t="n"/>
      <c r="T19" s="11" t="n"/>
      <c r="U19" s="11" t="inlineStr">
        <is>
          <t>Source-list summary (not verified against full text): Maps existing research on how GenAI changes university assessment. Provides an evidence base for identifying assessment strategies and gaps.</t>
        </is>
      </c>
      <c r="V19" s="11" t="n"/>
      <c r="W19" s="11" t="inlineStr">
        <is>
          <t>Duplicate DOI of R03. Imported from supplied list; existing record retained.</t>
        </is>
      </c>
      <c r="AD19" s="20">
        <f>IF(G19="","",IF(F19="","",IF(AND(F19&gt;=2022,F19&lt;=2024),"Review 2026 applicability","")))</f>
        <v/>
      </c>
      <c r="AE19" s="20" t="n"/>
      <c r="AF19" s="20">
        <f>IF(G19="","",IF(I19="","",IF(COUNTIF($I$2:$I$100,I19)&gt;1,"Check duplicate","")))</f>
        <v/>
      </c>
      <c r="AG19" s="20">
        <f>IF(G19="","",IF(M19="Yes","Duplicate",IF(OR(R19="",R19="Pending"),"Review pending","")))</f>
        <v/>
      </c>
      <c r="AL19" s="18" t="inlineStr">
        <is>
          <t>R96</t>
        </is>
      </c>
      <c r="AO19" s="20" t="n"/>
      <c r="AP19" s="20" t="n"/>
      <c r="AQ19" s="20" t="n"/>
      <c r="AR19" s="20" t="n"/>
      <c r="AS19" s="20" t="n"/>
      <c r="AT19" s="20" t="n"/>
      <c r="AU19" s="20" t="n"/>
      <c r="AV19" s="20" t="n"/>
      <c r="AW19" s="20" t="n"/>
      <c r="AX19" s="20" t="n"/>
      <c r="AY19" s="20" t="n"/>
      <c r="AZ19" s="20" t="n"/>
      <c r="BA19" s="20" t="n"/>
    </row>
    <row r="20" ht="171.6" customHeight="1">
      <c r="A20" s="11" t="inlineStr">
        <is>
          <t>R19</t>
        </is>
      </c>
      <c r="B20" s="11" t="inlineStr">
        <is>
          <t>14/10/2026</t>
        </is>
      </c>
      <c r="C20" s="11" t="inlineStr">
        <is>
          <t>User paper list, item 4</t>
        </is>
      </c>
      <c r="D20" s="23" t="inlineStr">
        <is>
          <t>Generative Artificial Intelligence in Tertiary Education: Assessment Redesign Principles and Considerations Original file: Relevant Papers 2022-26(1).docx</t>
        </is>
      </c>
      <c r="E20" s="11" t="inlineStr">
        <is>
          <t>Lye, C. Y.; Lim, L.</t>
        </is>
      </c>
      <c r="F20" s="11" t="n">
        <v>2024</v>
      </c>
      <c r="G20" s="11" t="inlineStr">
        <is>
          <t>Generative artificial intelligence in tertiary education: Assessment redesign principles and considerations</t>
        </is>
      </c>
      <c r="H20" s="11" t="inlineStr">
        <is>
          <t>Education Sciences, 14(6), Article 569</t>
        </is>
      </c>
      <c r="I20" s="11" t="inlineStr">
        <is>
          <t>https://doi.org/10.3390/educsci14060569</t>
        </is>
      </c>
      <c r="J20" s="11" t="inlineStr">
        <is>
          <t>Journal article</t>
        </is>
      </c>
      <c r="K20" s="11" t="inlineStr">
        <is>
          <t>Conceptual framework: Against, Avoid and Adopt (AAA); no experimental comparison</t>
        </is>
      </c>
      <c r="L20" s="11" t="inlineStr">
        <is>
          <t>Direct GenAI; cross-disciplinary tertiary assessment</t>
        </is>
      </c>
      <c r="M20" s="11" t="inlineStr">
        <is>
          <t>No</t>
        </is>
      </c>
      <c r="N20" s="11" t="n"/>
      <c r="O20" s="11" t="inlineStr">
        <is>
          <t>Include</t>
        </is>
      </c>
      <c r="P20" s="11" t="n"/>
      <c r="Q20" s="11" t="n"/>
      <c r="R20" s="13" t="inlineStr">
        <is>
          <t>Background</t>
        </is>
      </c>
      <c r="S20" s="11" t="n"/>
      <c r="T20" s="11" t="n"/>
      <c r="U20" s="11" t="inlineStr">
        <is>
          <t>Source-list summary (not verified against full text): Outlines principles for revising assessment in the presence of GenAI. Helps structure recommendations for AI-permitted assessment tasks.
Summary supplied in 15.10.2026.pdf (not independently verified): GenAI creates opportunities for learning but also raises concerns about academic integrity, reliability and misinformation. ; AI-detection tools have limitations and may produce inaccurate results. ; Prohibiting GenAI across all assessments may not adequately prepare students for professional environments where AI is used. ; The AAA principle provides three broad approaches to assessment design: Against, Avoid and Adopt. ; Assessment decisions should reflect learning objectives and the purpose of each task rather than applying a single rule to every assessment.</t>
        </is>
      </c>
      <c r="V20" s="11" t="n"/>
      <c r="W20" s="11" t="inlineStr">
        <is>
          <t>Imported from supplied paper list. Verify author(s), journal, year and DOI; retrieve full text, screen and extract supporting pages. No full-text review completed.
Added detailed source summary from 15.10.2026.pdf, Paper 5. Verify against original article. Computing applications and RQ mapping are source interpretations.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20" s="20">
        <f>IF(G20="","",IF(F20="","",IF(AND(F20&gt;=2022,F20&lt;=2024),"Review 2026 applicability","")))</f>
        <v/>
      </c>
      <c r="AE20" s="20" t="n"/>
      <c r="AF20" s="20">
        <f>IF(G20="","",IF(I20="","",IF(COUNTIF($I$2:$I$100,I20)&gt;1,"Check duplicate","")))</f>
        <v/>
      </c>
      <c r="AG20" s="20">
        <f>IF(G20="","",IF(M20="Yes","Duplicate",IF(OR(R20="",R20="Pending"),"Review pending","")))</f>
        <v/>
      </c>
      <c r="AL20" s="18" t="inlineStr">
        <is>
          <t>R96</t>
        </is>
      </c>
      <c r="AO20" s="20" t="inlineStr">
        <is>
          <t>Assessment redesign ; Transparent and responsible GenAI use ; Authentic assessment ; Academic integrity ; AI literacy development</t>
        </is>
      </c>
      <c r="AP20" s="20" t="inlineStr">
        <is>
          <t>Against: Assessments in which GenAI is not permitted because independent performance is essential. ; Avoid: Redesigning tasks to reduce reliance on activities that AI can complete without demonstrating the intended learning outcomes. ; Adopt: Assessments that deliberately incorporate GenAI and evaluate students' ability to use it appropriately. ; Transparent AI-use instructions ; Reflection on AI-assisted work ; Justification of technical decisions ; Practical demonstrations of individual competence</t>
        </is>
      </c>
      <c r="AQ20" s="20" t="inlineStr">
        <is>
          <t>Direct GenAI; cross-disciplinary tertiary assessment</t>
        </is>
      </c>
      <c r="AR20" s="20" t="inlineStr">
        <is>
          <t>This paper provides a useful conceptual framework for our project because it argues that restricting AI or attempting to detect AI-generated work is not sufficient to address the challenges of GenAI in education. Different assessments have different purposes. Some tasks may need to measure students' independent foundational knowledge, while others may benefit from allowing students to use AI as part of realistic professional practice. For computing education, this distinction is particularly important. Students may need to demonstrate unaided programming fundamentals in one assessment while using AI-assisted debugging or code generation in another. In both cases, assessment design should provide appropriate evidence of the intended learning outcomes. This aligns with our project objective of developing assessment strategies that balance responsible AI use with the verification of individual student achievement.</t>
        </is>
      </c>
      <c r="AS20" s="20" t="inlineStr">
        <is>
          <t>The paper is primarily conceptual and proposes a framework rather than experimentally comparing the effectiveness of different assessment strategies. The AAA principle provides guidance for categorising assessment approaches, but it does not establish that one category consistently produces more valid or reliable results than another. Furthermore, the framework does not independently verify whether students have achieved the intended learning outcomes. Practical tasks, oral explanations, process evidence and other assessment methods may still be needed to establish individual competence.</t>
        </is>
      </c>
      <c r="AT20" s="20" t="n"/>
      <c r="AU20" s="20" t="inlineStr">
        <is>
          <t>RQ1: Provides a framework for redesigning assessments to maintain appropriate evidence of individual student achievement when GenAI is available. RQ2: Identifies challenges associated with academic integrity, AI-generated misinformation and the limitations of AI-detection approaches. RQ4: Helps categorise assessment vulnerability according to whether AI use is prohibited, avoided through task redesign or deliberately incorporated. However, the paper does not experimentally measure vulnerability. RQ5: Supports a balanced approach to GenAI integration by matching assessment design to learning objectives and the intended role of AI.</t>
        </is>
      </c>
      <c r="AV20" s="20" t="inlineStr">
        <is>
          <t>The AAA framework helps our project categorise assessment strategies according to the role GenAI should play. For example, a closed-book programming test may restrict AI to assess foundational skills. A take-home software-design assignment may avoid tasks that AI can complete without meaningful student input, or it may explicitly permit AI and require students to evaluate and justify its outputs. This framework supports a balanced approach in which students' use of AI is determined by the assessment objectives and the evidence needed to establish competence.</t>
        </is>
      </c>
      <c r="AW20" s="20" t="inlineStr">
        <is>
          <t>Lye, C. Y., &amp; Lim, L. (2024). Generative artificial intelligence in tertiary education: Assessment redesign principles and considerations. Education Sciences, 14(6), Article 569. https://doi.org/10.3390/educsci14060569</t>
        </is>
      </c>
      <c r="AX20" s="20" t="inlineStr">
        <is>
          <t>Background, outside main synthesis</t>
        </is>
      </c>
      <c r="AY20" s="20" t="inlineStr">
        <is>
          <t>Tighter relevance screen of supplied title, context and summary; not a new full-text assessment.</t>
        </is>
      </c>
      <c r="AZ20" s="20" t="inlineStr">
        <is>
          <t>Broad AI, learning, literacy or policy context, or insufficient direct assessment-design evidence in the supplied summary; retain for background only.</t>
        </is>
      </c>
      <c r="BA20" s="20" t="inlineStr">
        <is>
          <t>Not independently checked against original full text.</t>
        </is>
      </c>
    </row>
    <row r="21" ht="158.45" customHeight="1">
      <c r="A21" s="11" t="inlineStr">
        <is>
          <t>R20</t>
        </is>
      </c>
      <c r="B21" s="11" t="inlineStr">
        <is>
          <t>14/10/2026</t>
        </is>
      </c>
      <c r="C21" s="11" t="inlineStr">
        <is>
          <t>User paper list, item 5</t>
        </is>
      </c>
      <c r="D21" s="23" t="inlineStr">
        <is>
          <t>Reinventing assessments with ChatGPT and other online tools: Opportunities for GenAI-empowered assessment practices Original file: Relevant Papers 2022-26(1).docx</t>
        </is>
      </c>
      <c r="E21" s="11" t="inlineStr">
        <is>
          <t>Foung, D.; Lin, H. F.; Chen, S. W. J.</t>
        </is>
      </c>
      <c r="F21" s="11" t="n">
        <v>2024</v>
      </c>
      <c r="G21" s="11" t="inlineStr">
        <is>
          <t>Reinventing assessments with ChatGPT and other online tools: Opportunities for GenAI-empowered assessment practices</t>
        </is>
      </c>
      <c r="H21" s="11" t="inlineStr">
        <is>
          <t>Computers and Education: Artificial Intelligence, 6, Article 100250</t>
        </is>
      </c>
      <c r="I21" s="11" t="inlineStr">
        <is>
          <t>https://doi.org/10.1016/j.caeai.2024.100250</t>
        </is>
      </c>
      <c r="J21" s="11" t="inlineStr">
        <is>
          <t>Journal article</t>
        </is>
      </c>
      <c r="K21" s="11" t="inlineStr">
        <is>
          <t>Qualitative assessment redesign study: reflections from 74 students and focus groups with 28 students</t>
        </is>
      </c>
      <c r="L21" s="11" t="inlineStr">
        <is>
          <t>Direct GenAI; elective English course in Hong Kong</t>
        </is>
      </c>
      <c r="M21" s="11" t="inlineStr">
        <is>
          <t>No</t>
        </is>
      </c>
      <c r="N21" s="11" t="n"/>
      <c r="O21" s="11" t="inlineStr">
        <is>
          <t>Include</t>
        </is>
      </c>
      <c r="P21" s="11" t="n"/>
      <c r="Q21" s="11" t="n"/>
      <c r="R21" s="13" t="inlineStr">
        <is>
          <t>Background</t>
        </is>
      </c>
      <c r="S21" s="11" t="n"/>
      <c r="T21" s="11" t="n"/>
      <c r="U21" s="11" t="inlineStr">
        <is>
          <t>Source-list summary (not verified against full text): Examines assessment practices built around the use of GenAI and other digital tools. Offers ideas for evaluating learning when AI assistance is permitted.
Summary supplied in 15.10.2026.pdf (not independently verified): The study analysed reflections from 74 students and interviews with 28 students. ; Students demonstrated the ability to select different online tools for different purposes. ; Allowing students to choose tools provided opportunities to develop evaluation and decision-making skills. ; Differences between free and premium tools raised concerns about equitable access. ; The findings support assessment practices that allow appropriate AI use while considering fairness and learning objectives.</t>
        </is>
      </c>
      <c r="V21" s="11" t="n"/>
      <c r="W21" s="11" t="inlineStr">
        <is>
          <t>Imported from supplied paper list. Verify author(s), journal, year and DOI; retrieve full text, screen and extract supporting pages. No full-text review completed.
Added detailed source summary from 15.10.2026.pdf, Paper 3. Verify against original article. Computing applications and RQ mapping are source interpretations.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21" s="20">
        <f>IF(G21="","",IF(F21="","",IF(AND(F21&gt;=2022,F21&lt;=2024),"Review 2026 applicability","")))</f>
        <v/>
      </c>
      <c r="AE21" s="20" t="n"/>
      <c r="AF21" s="20">
        <f>IF(G21="","",IF(I21="","",IF(COUNTIF($I$2:$I$100,I21)&gt;1,"Check duplicate","")))</f>
        <v/>
      </c>
      <c r="AG21" s="20">
        <f>IF(G21="","",IF(M21="Yes","Duplicate",IF(OR(R21="",R21="Pending"),"Review pending","")))</f>
        <v/>
      </c>
      <c r="AL21" s="18" t="inlineStr">
        <is>
          <t>R96</t>
        </is>
      </c>
      <c r="AO21" s="20" t="inlineStr">
        <is>
          <t>Transparent and responsible GenAI use ; Assessment redesign ; Reflective assessment ; AI literacy development ; Process-based assessment</t>
        </is>
      </c>
      <c r="AP21" s="20" t="inlineStr">
        <is>
          <t>Draft submissions and iterative improvements ; Reflection on AI tool usage ; Justification of tool selection ; Documentation of AI-generated suggestions ; Evaluation of AI-generated content ; Transparent disclosure of AI assistance</t>
        </is>
      </c>
      <c r="AQ21" s="20" t="inlineStr">
        <is>
          <t>Direct GenAI; elective English course in Hong Kong</t>
        </is>
      </c>
      <c r="AR21" s="20" t="inlineStr">
        <is>
          <t>This paper provides useful evidence for our project because it demonstrates how assessments can be redesigned to incorporate GenAI into learning activities. Instead of treating AI only as a threat to academic integrity, educators can create tasks that require students to select appropriate tools, evaluate AI-generated information and reflect on their decisions. For computing education, students could use AI to generate code, debug programs or explore alternative solutions. They could then explain which suggestions they accepted, modified or rejected and justify their decisions. This aligns with our project objective of developing assessment approaches that recognise the role of GenAI while providing stronger evidence of students' individual understanding and decision-making abilities.</t>
        </is>
      </c>
      <c r="AS21" s="20" t="inlineStr">
        <is>
          <t>The study focuses on an elective English course rather than computing education. Its findings therefore cannot automatically be generalised to programming, software engineering or cybersecurity assessments. The research uses qualitative evidence from student reflections and focus-group interviews. It does not experimentally establish whether the redesigned assessments improve academic integrity or reliably verify individual competence. Additionally, reflection and disclosure do not independently prove that a student understands the submitted work. These methods should be combined with practical demonstrations, oral explanations or individual problem-solving tasks.</t>
        </is>
      </c>
      <c r="AT21" s="20" t="n"/>
      <c r="AU21" s="20" t="inlineStr">
        <is>
          <t>RQ1: Supports assessment redesign that evaluates students' learning processes and decision- making alongside their final submissions. RQ2: Identifies challenges involving responsible AI use, tool selection and equitable access to AI technologies. RQ4: Highlights the need to move beyond final-output assessment, although the study does not directly measure the vulnerability of computing assessments to GenAI. RQ5: Supports integrating GenAI transparently into assessment while requiring students to evaluate tools, justify decisions and reflect on their learning.</t>
        </is>
      </c>
      <c r="AV21" s="20" t="inlineStr">
        <is>
          <t>The paper supports moving beyond assessments that evaluate only the final answer or submission. It suggests that students' tool-selection decisions and reflections can provide additional evidence of their learning. In computing education, this approach could be applied through programming tasks, debugging exercises and software-design problems. Students could submit their initial work, document AI assistance, explain changes made to their solutions and reflect on the accuracy of AI- generated suggestions. These practices may help educators evaluate both technical outcomes and individual reasoning in GenAI-supported learning environments.</t>
        </is>
      </c>
      <c r="AW21" s="20" t="inlineStr">
        <is>
          <t>Foung, D., Lin, H. F., &amp; Chen, S. W. J. (2024). Reinventing assessments with ChatGPT and other online tools: Opportunities for GenAI-empowered assessment practices. Computers and Education: Artificial Intelligence, 6, Article 100250. https://doi.org/10.1016/j.caeai.2024.100250</t>
        </is>
      </c>
      <c r="AX21" s="20" t="inlineStr">
        <is>
          <t>Background, outside main synthesis</t>
        </is>
      </c>
      <c r="AY21" s="20" t="inlineStr">
        <is>
          <t>Tighter relevance screen of supplied title, context and summary; not a new full-text assessment.</t>
        </is>
      </c>
      <c r="AZ21" s="20" t="inlineStr">
        <is>
          <t>Broad AI, learning, literacy or policy context, or insufficient direct assessment-design evidence in the supplied summary; retain for background only.</t>
        </is>
      </c>
      <c r="BA21" s="20" t="inlineStr">
        <is>
          <t>Not independently checked against original full text.</t>
        </is>
      </c>
    </row>
    <row r="22" ht="110.1" customHeight="1">
      <c r="A22" s="11" t="inlineStr">
        <is>
          <t>R21</t>
        </is>
      </c>
      <c r="B22" s="11" t="inlineStr">
        <is>
          <t>14/10/2026</t>
        </is>
      </c>
      <c r="C22" s="11" t="inlineStr">
        <is>
          <t>User paper list, item 6</t>
        </is>
      </c>
      <c r="D22" s="23" t="inlineStr">
        <is>
          <t>Developing evaluative judgement for a time of generative artificial intelligence Original file: Relevant Papers 2022-26(1).docx</t>
        </is>
      </c>
      <c r="E22" s="11" t="n"/>
      <c r="F22" s="11" t="n">
        <v>2024</v>
      </c>
      <c r="G22" s="11" t="inlineStr">
        <is>
          <t>Developing evaluative judgement for a time of generative artificial intelligence</t>
        </is>
      </c>
      <c r="H22" s="11" t="n"/>
      <c r="I22" s="11" t="inlineStr">
        <is>
          <t>https://doi.org/10.1080/02602938.2024.2335321</t>
        </is>
      </c>
      <c r="J22" s="11" t="inlineStr">
        <is>
          <t>Journal article (source list; verify)</t>
        </is>
      </c>
      <c r="K22" s="11" t="n"/>
      <c r="L22" s="11" t="inlineStr">
        <is>
          <t>Journal Papers</t>
        </is>
      </c>
      <c r="M22" s="11" t="inlineStr">
        <is>
          <t>No</t>
        </is>
      </c>
      <c r="N22" s="11" t="n"/>
      <c r="O22" s="11" t="inlineStr">
        <is>
          <t>Include</t>
        </is>
      </c>
      <c r="P22" s="11" t="n"/>
      <c r="Q22" s="11" t="n"/>
      <c r="R22" s="13" t="inlineStr">
        <is>
          <t>Background</t>
        </is>
      </c>
      <c r="S22" s="11" t="n"/>
      <c r="T22" s="11" t="n"/>
      <c r="U22" s="11" t="inlineStr">
        <is>
          <t>Source-list summary (not verified against full text): Considers students’ ability to judge the quality of work in an AI-rich environment. Supports marking the evaluation and justification of AI outputs.</t>
        </is>
      </c>
      <c r="V22" s="11" t="n"/>
      <c r="W22" s="11" t="inlineStr">
        <is>
          <t>Imported from supplied paper list. Verify author(s), journal, year and DOI; retrieve full text, screen and extract supporting pages. No full-text review completed.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22" s="20">
        <f>IF(G22="","",IF(F22="","",IF(AND(F22&gt;=2022,F22&lt;=2024),"Review 2026 applicability","")))</f>
        <v/>
      </c>
      <c r="AE22" s="20" t="n"/>
      <c r="AF22" s="20">
        <f>IF(G22="","",IF(I22="","",IF(COUNTIF($I$2:$I$100,I22)&gt;1,"Check duplicate","")))</f>
        <v/>
      </c>
      <c r="AG22" s="20">
        <f>IF(G22="","",IF(M22="Yes","Duplicate",IF(OR(R22="",R22="Pending"),"Review pending","")))</f>
        <v/>
      </c>
      <c r="AL22" s="18" t="inlineStr">
        <is>
          <t>R96</t>
        </is>
      </c>
      <c r="AO22" s="20" t="n"/>
      <c r="AP22" s="20" t="n"/>
      <c r="AQ22" s="20" t="n"/>
      <c r="AR22" s="20" t="n"/>
      <c r="AS22" s="20" t="n"/>
      <c r="AT22" s="20" t="n"/>
      <c r="AU22" s="20" t="n"/>
      <c r="AV22" s="20" t="n"/>
      <c r="AW22" s="20" t="n"/>
      <c r="AX22" s="20" t="inlineStr">
        <is>
          <t>Background, outside main synthesis</t>
        </is>
      </c>
      <c r="AY22" s="20" t="inlineStr">
        <is>
          <t>Tighter relevance screen of supplied title, context and summary; not a new full-text assessment.</t>
        </is>
      </c>
      <c r="AZ22" s="20" t="inlineStr">
        <is>
          <t>Broad AI, learning, literacy or policy context, or insufficient direct assessment-design evidence in the supplied summary; retain for background only.</t>
        </is>
      </c>
      <c r="BA22" s="20" t="inlineStr">
        <is>
          <t>Not independently checked against original full text.</t>
        </is>
      </c>
    </row>
    <row r="23" ht="110.1" customHeight="1">
      <c r="A23" s="11" t="inlineStr">
        <is>
          <t>R22</t>
        </is>
      </c>
      <c r="B23" s="11" t="inlineStr">
        <is>
          <t>14/10/2026</t>
        </is>
      </c>
      <c r="C23" s="11" t="inlineStr">
        <is>
          <t>User paper list, item 7</t>
        </is>
      </c>
      <c r="D23" s="25" t="inlineStr">
        <is>
          <t>Guidelines for learning design and assessment for generative artificial intelligence-integrated education: a unified view Original file: Relevant Papers 2022-26(1).docx</t>
        </is>
      </c>
      <c r="E23" s="11" t="n"/>
      <c r="F23" s="11" t="n">
        <v>2025</v>
      </c>
      <c r="G23" s="11" t="inlineStr">
        <is>
          <t>Guidelines for learning design and assessment for generative artificial intelligence-integrated education: a unified view</t>
        </is>
      </c>
      <c r="H23" s="11" t="n"/>
      <c r="I23" s="11" t="inlineStr">
        <is>
          <t>https://doi.org/10.1108/ILS-11-2024-0148</t>
        </is>
      </c>
      <c r="J23" s="11" t="inlineStr">
        <is>
          <t>Journal article (source list; verify)</t>
        </is>
      </c>
      <c r="K23" s="11" t="n"/>
      <c r="L23" s="11" t="inlineStr">
        <is>
          <t>Journal Papers</t>
        </is>
      </c>
      <c r="M23" s="11" t="inlineStr">
        <is>
          <t>No</t>
        </is>
      </c>
      <c r="N23" s="11" t="n"/>
      <c r="O23" s="11" t="inlineStr">
        <is>
          <t>Include</t>
        </is>
      </c>
      <c r="P23" s="11" t="n"/>
      <c r="Q23" s="11" t="n"/>
      <c r="R23" s="13" t="inlineStr">
        <is>
          <t>Background</t>
        </is>
      </c>
      <c r="S23" s="11" t="n"/>
      <c r="T23" s="11" t="n"/>
      <c r="U23" s="11" t="inlineStr">
        <is>
          <t>Source-list summary (not verified against full text): Addresses teaching and assessment design where GenAI is integrated into learning. Provides principles that can inform a practical redesign framework.</t>
        </is>
      </c>
      <c r="V23" s="11" t="n"/>
      <c r="W23" s="11" t="inlineStr">
        <is>
          <t>Imported from supplied paper list. Verify author(s), journal, year and DOI; retrieve full text, screen and extract supporting pages. No full-text review completed.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23" s="20">
        <f>IF(G23="","",IF(F23="","",IF(AND(F23&gt;=2022,F23&lt;=2024),"Review 2026 applicability","")))</f>
        <v/>
      </c>
      <c r="AE23" s="20" t="n"/>
      <c r="AF23" s="20">
        <f>IF(G23="","",IF(I23="","",IF(COUNTIF($I$2:$I$100,I23)&gt;1,"Check duplicate","")))</f>
        <v/>
      </c>
      <c r="AG23" s="20">
        <f>IF(G23="","",IF(M23="Yes","Duplicate",IF(OR(R23="",R23="Pending"),"Review pending","")))</f>
        <v/>
      </c>
      <c r="AL23" s="18" t="inlineStr">
        <is>
          <t>R96</t>
        </is>
      </c>
      <c r="AO23" s="20" t="n"/>
      <c r="AP23" s="20" t="n"/>
      <c r="AQ23" s="20" t="n"/>
      <c r="AR23" s="20" t="n"/>
      <c r="AS23" s="20" t="n"/>
      <c r="AT23" s="20" t="n"/>
      <c r="AU23" s="20" t="n"/>
      <c r="AV23" s="20" t="n"/>
      <c r="AW23" s="20" t="n"/>
      <c r="AX23" s="20" t="inlineStr">
        <is>
          <t>Background, outside main synthesis</t>
        </is>
      </c>
      <c r="AY23" s="20" t="inlineStr">
        <is>
          <t>Tighter relevance screen of supplied title, context and summary; not a new full-text assessment.</t>
        </is>
      </c>
      <c r="AZ23" s="20" t="inlineStr">
        <is>
          <t>Broad AI, learning, literacy or policy context, or insufficient direct assessment-design evidence in the supplied summary; retain for background only.</t>
        </is>
      </c>
      <c r="BA23" s="20" t="inlineStr">
        <is>
          <t>Not independently checked against original full text.</t>
        </is>
      </c>
    </row>
    <row r="24" ht="110.1" customHeight="1">
      <c r="A24" s="11" t="inlineStr">
        <is>
          <t>R23</t>
        </is>
      </c>
      <c r="B24" s="11" t="inlineStr">
        <is>
          <t>14/10/2026</t>
        </is>
      </c>
      <c r="C24" s="11" t="inlineStr">
        <is>
          <t>User paper list, item 8</t>
        </is>
      </c>
      <c r="D24" s="24" t="inlineStr">
        <is>
          <t>Embracing a new world: authentic assessment designs in an age of generative artificial intelligence (GenAI) Original file: Relevant Papers 2022-26(1).docx</t>
        </is>
      </c>
      <c r="E24" s="11" t="n"/>
      <c r="F24" s="11" t="n">
        <v>2026</v>
      </c>
      <c r="G24" s="11" t="inlineStr">
        <is>
          <t>Embracing a new world: authentic assessment designs in an age of generative artificial intelligence (GenAI)</t>
        </is>
      </c>
      <c r="H24" s="11" t="n"/>
      <c r="I24" s="11" t="inlineStr">
        <is>
          <t>https://doi.org/10.1080/13603108.2025.2601741</t>
        </is>
      </c>
      <c r="J24" s="11" t="inlineStr">
        <is>
          <t>Journal article (source list; verify)</t>
        </is>
      </c>
      <c r="K24" s="11" t="n"/>
      <c r="L24" s="11" t="inlineStr">
        <is>
          <t>Journal Papers</t>
        </is>
      </c>
      <c r="M24" s="11" t="inlineStr">
        <is>
          <t>No</t>
        </is>
      </c>
      <c r="N24" s="11" t="n"/>
      <c r="O24" s="11" t="inlineStr">
        <is>
          <t>Include</t>
        </is>
      </c>
      <c r="P24" s="11" t="n"/>
      <c r="Q24" s="11" t="n"/>
      <c r="R24" s="13" t="inlineStr">
        <is>
          <t>Background</t>
        </is>
      </c>
      <c r="S24" s="11" t="n"/>
      <c r="T24" s="11" t="n"/>
      <c r="U24" s="11" t="inlineStr">
        <is>
          <t>Source-list summary (not verified against full text): Explores authentic assessment design in the GenAI era. Helps connect assessment tasks to demonstrable personal competence.</t>
        </is>
      </c>
      <c r="V24" s="11" t="n"/>
      <c r="W24" s="11" t="inlineStr">
        <is>
          <t>Imported from supplied paper list. Verify author(s), journal, year and DOI; retrieve full text, screen and extract supporting pages. No full-text review completed.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24" s="20">
        <f>IF(G24="","",IF(F24="","",IF(AND(F24&gt;=2022,F24&lt;=2024),"Review 2026 applicability","")))</f>
        <v/>
      </c>
      <c r="AE24" s="20" t="n"/>
      <c r="AF24" s="20">
        <f>IF(G24="","",IF(I24="","",IF(COUNTIF($I$2:$I$100,I24)&gt;1,"Check duplicate","")))</f>
        <v/>
      </c>
      <c r="AG24" s="20">
        <f>IF(G24="","",IF(M24="Yes","Duplicate",IF(OR(R24="",R24="Pending"),"Review pending","")))</f>
        <v/>
      </c>
      <c r="AL24" s="18" t="inlineStr">
        <is>
          <t>R96</t>
        </is>
      </c>
      <c r="AO24" s="20" t="n"/>
      <c r="AP24" s="20" t="n"/>
      <c r="AQ24" s="20" t="n"/>
      <c r="AR24" s="20" t="n"/>
      <c r="AS24" s="20" t="n"/>
      <c r="AT24" s="20" t="n"/>
      <c r="AU24" s="20" t="n"/>
      <c r="AV24" s="20" t="n"/>
      <c r="AW24" s="20" t="n"/>
      <c r="AX24" s="20" t="inlineStr">
        <is>
          <t>Background, outside main synthesis</t>
        </is>
      </c>
      <c r="AY24" s="20" t="inlineStr">
        <is>
          <t>Tighter relevance screen of supplied title, context and summary; not a new full-text assessment.</t>
        </is>
      </c>
      <c r="AZ24" s="20" t="inlineStr">
        <is>
          <t>Broad AI, learning, literacy or policy context, or insufficient direct assessment-design evidence in the supplied summary; retain for background only.</t>
        </is>
      </c>
      <c r="BA24" s="20" t="inlineStr">
        <is>
          <t>Not independently checked against original full text.</t>
        </is>
      </c>
    </row>
    <row r="25" ht="110.1" customHeight="1">
      <c r="A25" s="11" t="inlineStr">
        <is>
          <t>R24</t>
        </is>
      </c>
      <c r="B25" s="11" t="inlineStr">
        <is>
          <t>14/10/2026</t>
        </is>
      </c>
      <c r="C25" s="11" t="inlineStr">
        <is>
          <t>User paper list, item 9</t>
        </is>
      </c>
      <c r="D25" s="23" t="inlineStr">
        <is>
          <t>Changing EAP assessment practices in the age of generative artificial intelligence: The case of Scottish higher education institutions Original file: Relevant Papers 2022-26(1).docx</t>
        </is>
      </c>
      <c r="E25" s="11" t="n"/>
      <c r="F25" s="11" t="n">
        <v>2026</v>
      </c>
      <c r="G25" s="11" t="inlineStr">
        <is>
          <t>Changing EAP assessment practices in the age of generative artificial intelligence: The case of Scottish higher education institutions</t>
        </is>
      </c>
      <c r="H25" s="11" t="n"/>
      <c r="I25" s="11" t="inlineStr">
        <is>
          <t>https://doi.org/10.1016/j.jeap.2025.101609</t>
        </is>
      </c>
      <c r="J25" s="11" t="inlineStr">
        <is>
          <t>Journal article (source list; verify)</t>
        </is>
      </c>
      <c r="K25" s="11" t="n"/>
      <c r="L25" s="11" t="inlineStr">
        <is>
          <t>Journal Papers</t>
        </is>
      </c>
      <c r="M25" s="11" t="inlineStr">
        <is>
          <t>No</t>
        </is>
      </c>
      <c r="N25" s="11" t="n"/>
      <c r="O25" s="11" t="inlineStr">
        <is>
          <t>Include</t>
        </is>
      </c>
      <c r="P25" s="11" t="n"/>
      <c r="Q25" s="11" t="n"/>
      <c r="R25" s="13" t="inlineStr">
        <is>
          <t>Background</t>
        </is>
      </c>
      <c r="S25" s="11" t="n"/>
      <c r="T25" s="11" t="n"/>
      <c r="U25" s="11" t="inlineStr">
        <is>
          <t>Source-list summary (not verified against full text): Examines how English for Academic Purposes assessment practices respond to GenAI. Offers cross-disciplinary examples of assessment change.</t>
        </is>
      </c>
      <c r="V25" s="11" t="n"/>
      <c r="W25"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Other-discipline educational evidence; potentially transferable background, outside the Computing/IT assessment sample.</t>
        </is>
      </c>
      <c r="AD25" s="20">
        <f>IF(G25="","",IF(F25="","",IF(AND(F25&gt;=2022,F25&lt;=2024),"Review 2026 applicability","")))</f>
        <v/>
      </c>
      <c r="AE25" s="20" t="n"/>
      <c r="AF25" s="20">
        <f>IF(G25="","",IF(I25="","",IF(COUNTIF($I$2:$I$100,I25)&gt;1,"Check duplicate","")))</f>
        <v/>
      </c>
      <c r="AG25" s="20">
        <f>IF(G25="","",IF(M25="Yes","Duplicate",IF(OR(R25="",R25="Pending"),"Review pending","")))</f>
        <v/>
      </c>
      <c r="AL25" s="18" t="inlineStr">
        <is>
          <t>R96</t>
        </is>
      </c>
      <c r="AO25" s="20" t="n"/>
      <c r="AP25" s="20" t="n"/>
      <c r="AQ25" s="20" t="n"/>
      <c r="AR25" s="20" t="n"/>
      <c r="AS25" s="20" t="n"/>
      <c r="AT25" s="20" t="n"/>
      <c r="AU25" s="20" t="n"/>
      <c r="AV25" s="20" t="n"/>
      <c r="AW25" s="20" t="n"/>
      <c r="AX25" s="20" t="inlineStr">
        <is>
          <t>Background, outside main synthesis</t>
        </is>
      </c>
      <c r="AY25" s="20" t="inlineStr">
        <is>
          <t>Tighter relevance screen of supplied title, context and summary; not a new full-text assessment.</t>
        </is>
      </c>
      <c r="AZ25" s="20" t="inlineStr">
        <is>
          <t>Other-discipline educational evidence; potentially transferable background, outside the Computing/IT assessment sample.</t>
        </is>
      </c>
      <c r="BA25" s="20" t="inlineStr">
        <is>
          <t>Not independently checked against original full text.</t>
        </is>
      </c>
    </row>
    <row r="26" ht="110.1" customHeight="1">
      <c r="A26" s="11" t="inlineStr">
        <is>
          <t>R25</t>
        </is>
      </c>
      <c r="B26" s="11" t="inlineStr">
        <is>
          <t>14/10/2026</t>
        </is>
      </c>
      <c r="C26" s="11" t="inlineStr">
        <is>
          <t>User paper list, item 10</t>
        </is>
      </c>
      <c r="D26" s="23" t="inlineStr">
        <is>
          <t>Online assessment in the age of artificial intelligence Original file: Relevant Papers 2022-26(1).docx</t>
        </is>
      </c>
      <c r="E26" s="11" t="n"/>
      <c r="F26" s="11" t="n">
        <v>2024</v>
      </c>
      <c r="G26" s="11" t="inlineStr">
        <is>
          <t>Online assessment in the age of artificial intelligence</t>
        </is>
      </c>
      <c r="H26" s="11" t="n"/>
      <c r="I26" s="11" t="inlineStr">
        <is>
          <t>https://doi.org/10.1007/s44217-024-00212-9</t>
        </is>
      </c>
      <c r="J26" s="11" t="inlineStr">
        <is>
          <t>Journal article (source list; verify)</t>
        </is>
      </c>
      <c r="K26" s="11" t="n"/>
      <c r="L26" s="11" t="inlineStr">
        <is>
          <t>Journal Papers</t>
        </is>
      </c>
      <c r="M26" s="11" t="inlineStr">
        <is>
          <t>No</t>
        </is>
      </c>
      <c r="N26" s="11" t="n"/>
      <c r="O26" s="11" t="inlineStr">
        <is>
          <t>Include</t>
        </is>
      </c>
      <c r="P26" s="11" t="n"/>
      <c r="Q26" s="11" t="n"/>
      <c r="R26" s="13" t="inlineStr">
        <is>
          <t>Background</t>
        </is>
      </c>
      <c r="S26" s="11" t="n"/>
      <c r="T26" s="11" t="n"/>
      <c r="U26" s="11" t="inlineStr">
        <is>
          <t>Source-list summary (not verified against full text): Discusses challenges posed by AI to online assessment. Relevant to designing unsupervised activities that generate stronger learning evidence.</t>
        </is>
      </c>
      <c r="V26" s="11" t="n"/>
      <c r="W26" s="11" t="inlineStr">
        <is>
          <t>Imported from supplied paper list. Verify author(s), journal, year and DOI; retrieve full text, screen and extract supporting pages. No full-text review completed.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26" s="20">
        <f>IF(G26="","",IF(F26="","",IF(AND(F26&gt;=2022,F26&lt;=2024),"Review 2026 applicability","")))</f>
        <v/>
      </c>
      <c r="AE26" s="20" t="n"/>
      <c r="AF26" s="20">
        <f>IF(G26="","",IF(I26="","",IF(COUNTIF($I$2:$I$100,I26)&gt;1,"Check duplicate","")))</f>
        <v/>
      </c>
      <c r="AG26" s="20">
        <f>IF(G26="","",IF(M26="Yes","Duplicate",IF(OR(R26="",R26="Pending"),"Review pending","")))</f>
        <v/>
      </c>
      <c r="AL26" s="18" t="inlineStr">
        <is>
          <t>R96</t>
        </is>
      </c>
      <c r="AO26" s="20" t="n"/>
      <c r="AP26" s="20" t="n"/>
      <c r="AQ26" s="20" t="n"/>
      <c r="AR26" s="20" t="n"/>
      <c r="AS26" s="20" t="n"/>
      <c r="AT26" s="20" t="n"/>
      <c r="AU26" s="20" t="n"/>
      <c r="AV26" s="20" t="n"/>
      <c r="AW26" s="20" t="n"/>
      <c r="AX26" s="20" t="inlineStr">
        <is>
          <t>Background, outside main synthesis</t>
        </is>
      </c>
      <c r="AY26" s="20" t="inlineStr">
        <is>
          <t>Tighter relevance screen of supplied title, context and summary; not a new full-text assessment.</t>
        </is>
      </c>
      <c r="AZ26" s="20" t="inlineStr">
        <is>
          <t>Broad AI, learning, literacy or policy context, or insufficient direct assessment-design evidence in the supplied summary; retain for background only.</t>
        </is>
      </c>
      <c r="BA26" s="20" t="inlineStr">
        <is>
          <t>Not independently checked against original full text.</t>
        </is>
      </c>
    </row>
    <row r="27" ht="110.1" customHeight="1">
      <c r="A27" s="11" t="inlineStr">
        <is>
          <t>R26</t>
        </is>
      </c>
      <c r="B27" s="11" t="inlineStr">
        <is>
          <t>14/10/2026</t>
        </is>
      </c>
      <c r="C27" s="11" t="inlineStr">
        <is>
          <t>User paper list, item 11</t>
        </is>
      </c>
      <c r="D27" s="23" t="inlineStr">
        <is>
          <t>Is AI changing learning and assessment as we know it? Evidence from a ChatGPT experiment and a conceptual framework Original file: Relevant Papers 2022-26(1).docx</t>
        </is>
      </c>
      <c r="E27" s="11" t="n"/>
      <c r="F27" s="11" t="n">
        <v>2024</v>
      </c>
      <c r="G27" s="11" t="inlineStr">
        <is>
          <t>Is AI changing learning and assessment as we know it? Evidence from a ChatGPT experiment and a conceptual framework</t>
        </is>
      </c>
      <c r="H27" s="11" t="n"/>
      <c r="I27" s="11" t="inlineStr">
        <is>
          <t>https://doi.org/10.1016/j.heliyon.2024.e25953</t>
        </is>
      </c>
      <c r="J27" s="11" t="inlineStr">
        <is>
          <t>Journal article (source list; verify)</t>
        </is>
      </c>
      <c r="K27" s="11" t="n"/>
      <c r="L27" s="11" t="inlineStr">
        <is>
          <t>Journal Papers</t>
        </is>
      </c>
      <c r="M27" s="11" t="inlineStr">
        <is>
          <t>No</t>
        </is>
      </c>
      <c r="N27" s="11" t="n"/>
      <c r="O27" s="11" t="inlineStr">
        <is>
          <t>Include</t>
        </is>
      </c>
      <c r="P27" s="11" t="n"/>
      <c r="Q27" s="11" t="n"/>
      <c r="R27" s="13" t="inlineStr">
        <is>
          <t>Background</t>
        </is>
      </c>
      <c r="S27" s="11" t="n"/>
      <c r="T27" s="11" t="n"/>
      <c r="U27" s="11" t="inlineStr">
        <is>
          <t>Source-list summary (not verified against full text): Uses evidence from a ChatGPT-related experiment to examine learning and assessment. Provides a conceptual basis for thinking about AI’s influence on results.</t>
        </is>
      </c>
      <c r="V27" s="11" t="n"/>
      <c r="W27"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27" s="20">
        <f>IF(G27="","",IF(F27="","",IF(AND(F27&gt;=2022,F27&lt;=2024),"Review 2026 applicability","")))</f>
        <v/>
      </c>
      <c r="AE27" s="20" t="n"/>
      <c r="AF27" s="20">
        <f>IF(G27="","",IF(I27="","",IF(COUNTIF($I$2:$I$100,I27)&gt;1,"Check duplicate","")))</f>
        <v/>
      </c>
      <c r="AG27" s="20">
        <f>IF(G27="","",IF(M27="Yes","Duplicate",IF(OR(R27="",R27="Pending"),"Review pending","")))</f>
        <v/>
      </c>
      <c r="AL27" s="18" t="inlineStr">
        <is>
          <t>R96</t>
        </is>
      </c>
      <c r="AO27" s="20" t="n"/>
      <c r="AP27" s="20" t="n"/>
      <c r="AQ27" s="20" t="n"/>
      <c r="AR27" s="20" t="n"/>
      <c r="AS27" s="20" t="n"/>
      <c r="AT27" s="20" t="n"/>
      <c r="AU27" s="20" t="n"/>
      <c r="AV27" s="20" t="n"/>
      <c r="AW27" s="20" t="n"/>
      <c r="AX27" s="20" t="inlineStr">
        <is>
          <t>Background, outside main synthesis</t>
        </is>
      </c>
      <c r="AY27" s="20" t="inlineStr">
        <is>
          <t>Tighter relevance screen of supplied title, context and summary; not a new full-text assessment.</t>
        </is>
      </c>
      <c r="AZ27" s="20" t="inlineStr">
        <is>
          <t>Broad AI, learning, literacy or policy context, or insufficient direct assessment-design evidence in the supplied summary; retain for background only.</t>
        </is>
      </c>
      <c r="BA27" s="20" t="inlineStr">
        <is>
          <t>Not independently checked against original full text.</t>
        </is>
      </c>
    </row>
    <row r="28" ht="110.1" customHeight="1">
      <c r="A28" s="11" t="inlineStr">
        <is>
          <t>R27</t>
        </is>
      </c>
      <c r="B28" s="11" t="inlineStr">
        <is>
          <t>14/10/2026</t>
        </is>
      </c>
      <c r="C28" s="11" t="inlineStr">
        <is>
          <t>User paper list, item 12</t>
        </is>
      </c>
      <c r="D28" s="23" t="inlineStr">
        <is>
          <t>AI in action: Changes to student perceptions when using generative artificial intelligence for the creation of a multimedia project-based assessment Original file: Relevant Papers 2022-26(1).docx</t>
        </is>
      </c>
      <c r="E28" s="11" t="n"/>
      <c r="F28" s="11" t="n">
        <v>2025</v>
      </c>
      <c r="G28" s="11" t="inlineStr">
        <is>
          <t>AI in action: Changes to student perceptions when using generative artificial intelligence for the creation of a multimedia project-based assessment</t>
        </is>
      </c>
      <c r="H28" s="11" t="n"/>
      <c r="I28" s="11" t="inlineStr">
        <is>
          <t>https://doi.org/10.1016/j.ejphar.2025.177508</t>
        </is>
      </c>
      <c r="J28" s="11" t="inlineStr">
        <is>
          <t>Journal article (source list; verify)</t>
        </is>
      </c>
      <c r="K28" s="11" t="n"/>
      <c r="L28" s="11" t="inlineStr">
        <is>
          <t>Journal Papers</t>
        </is>
      </c>
      <c r="M28" s="11" t="inlineStr">
        <is>
          <t>No</t>
        </is>
      </c>
      <c r="N28" s="11" t="n"/>
      <c r="O28" s="11" t="inlineStr">
        <is>
          <t>Include</t>
        </is>
      </c>
      <c r="P28" s="11" t="n"/>
      <c r="Q28" s="11" t="n"/>
      <c r="R28" s="13" t="inlineStr">
        <is>
          <t>Background</t>
        </is>
      </c>
      <c r="S28" s="11" t="n"/>
      <c r="T28" s="11" t="n"/>
      <c r="U28" s="11" t="inlineStr">
        <is>
          <t>Source-list summary (not verified against full text): Examines student perceptions during an AI-supported project-based assessment. Provides an example of student experience with permitted AI use.</t>
        </is>
      </c>
      <c r="V28" s="11" t="n"/>
      <c r="W28"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Other-discipline educational evidence; potentially transferable background, outside the Computing/IT assessment sample.</t>
        </is>
      </c>
      <c r="AD28" s="20">
        <f>IF(G28="","",IF(F28="","",IF(AND(F28&gt;=2022,F28&lt;=2024),"Review 2026 applicability","")))</f>
        <v/>
      </c>
      <c r="AE28" s="20" t="n"/>
      <c r="AF28" s="20">
        <f>IF(G28="","",IF(I28="","",IF(COUNTIF($I$2:$I$100,I28)&gt;1,"Check duplicate","")))</f>
        <v/>
      </c>
      <c r="AG28" s="20">
        <f>IF(G28="","",IF(M28="Yes","Duplicate",IF(OR(R28="",R28="Pending"),"Review pending","")))</f>
        <v/>
      </c>
      <c r="AL28" s="18" t="inlineStr">
        <is>
          <t>R96</t>
        </is>
      </c>
      <c r="AO28" s="20" t="n"/>
      <c r="AP28" s="20" t="n"/>
      <c r="AQ28" s="20" t="n"/>
      <c r="AR28" s="20" t="n"/>
      <c r="AS28" s="20" t="n"/>
      <c r="AT28" s="20" t="n"/>
      <c r="AU28" s="20" t="n"/>
      <c r="AV28" s="20" t="n"/>
      <c r="AW28" s="20" t="n"/>
      <c r="AX28" s="20" t="inlineStr">
        <is>
          <t>Background, outside main synthesis</t>
        </is>
      </c>
      <c r="AY28" s="20" t="inlineStr">
        <is>
          <t>Tighter relevance screen of supplied title, context and summary; not a new full-text assessment.</t>
        </is>
      </c>
      <c r="AZ28" s="20" t="inlineStr">
        <is>
          <t>Other-discipline educational evidence; potentially transferable background, outside the Computing/IT assessment sample.</t>
        </is>
      </c>
      <c r="BA28" s="20" t="inlineStr">
        <is>
          <t>Not independently checked against original full text.</t>
        </is>
      </c>
    </row>
    <row r="29" ht="108" customHeight="1">
      <c r="A29" s="11" t="inlineStr">
        <is>
          <t>R28</t>
        </is>
      </c>
      <c r="B29" s="11" t="inlineStr">
        <is>
          <t>14/10/2026</t>
        </is>
      </c>
      <c r="C29" s="11" t="inlineStr">
        <is>
          <t>User paper list, item 13</t>
        </is>
      </c>
      <c r="D29" s="23" t="inlineStr">
        <is>
          <t>Generative AI in computing education: A systematic review and a framework for responsible integration Original file: Relevant Papers 2022-26(1).docx</t>
        </is>
      </c>
      <c r="E29" s="11" t="inlineStr">
        <is>
          <t>Kumar, Wongsirichot &amp; Nanthaamornphong</t>
        </is>
      </c>
      <c r="F29" s="11" t="n">
        <v>2026</v>
      </c>
      <c r="G29" s="11" t="inlineStr">
        <is>
          <t>Generative AI in Computing Education: A Systematic Review and a Framework for Responsible Integration</t>
        </is>
      </c>
      <c r="H29" s="11" t="inlineStr">
        <is>
          <t>Computers and Education: Artificial Intelligence, Volume 11, Article 100677</t>
        </is>
      </c>
      <c r="I29" s="11" t="inlineStr">
        <is>
          <t>https://doi.org/10.1016/j.caeai.2026.100677</t>
        </is>
      </c>
      <c r="J29" s="11" t="inlineStr">
        <is>
          <t>Journal article</t>
        </is>
      </c>
      <c r="K29" s="11" t="inlineStr">
        <is>
          <t>Systematic literature review of 72 primary studies published between 2022 and 2026. Uses quality appraisal and thematic synthesis.</t>
        </is>
      </c>
      <c r="L29" s="11" t="inlineStr">
        <is>
          <t>Extremely relevant to authentic and secure computing assessment. Provides synthesized evidence for the need to verify individual capability and redesign assessments. Discipline: Computing and Programming Education.</t>
        </is>
      </c>
      <c r="M29" s="11" t="inlineStr">
        <is>
          <t>No</t>
        </is>
      </c>
      <c r="N29" s="11" t="n"/>
      <c r="O29" s="11" t="inlineStr">
        <is>
          <t>Include</t>
        </is>
      </c>
      <c r="P29" s="11" t="n"/>
      <c r="Q29" s="11" t="n"/>
      <c r="R29" s="13" t="inlineStr">
        <is>
          <t>Background</t>
        </is>
      </c>
      <c r="S29" s="11" t="inlineStr">
        <is>
          <t>High</t>
        </is>
      </c>
      <c r="T29" s="11" t="n"/>
      <c r="U29" s="11" t="inlineStr">
        <is>
          <t>Extraction supplied in tables.docx (not independently verified): AI improves task-completion efficiency, but successful AI-assisted completion does not necessarily demonstrate independent programming competence. The review identifies over-reliance, integrity risks and the importance of assessment redesign.</t>
        </is>
      </c>
      <c r="V29" s="11" t="n"/>
      <c r="W29" s="11" t="inlineStr">
        <is>
          <t>Imported from supplied paper list. Verify author(s), journal, year and DOI; retrieve full text, screen and extract supporting pages. No full-text review completed.
Detailed extraction imported from tables.docx. Source recommendation retained separately; verify against full text before final screening. 
Also listed in tables.pdf, entry 1. Existing extraction retained.
16/10/2026 relevance decision: Include. Addresses assessment design, verification of understanding, assessment validity or integrity in AI-rich education.
Revised strict-scope decision: Background only. Secondary synthesis or broad review; retain to frame or locate primary studies, outside the direct assessment-study synthesis.</t>
        </is>
      </c>
      <c r="AD29" s="20">
        <f>IF(G29="","",IF(F29="","",IF(AND(F29&gt;=2022,F29&lt;=2024),"Review 2026 applicability","")))</f>
        <v/>
      </c>
      <c r="AE29" s="20" t="n"/>
      <c r="AF29" s="20">
        <f>IF(G29="","",IF(I29="","",IF(COUNTIF($I$2:$I$100,I29)&gt;1,"Check duplicate","")))</f>
        <v/>
      </c>
      <c r="AG29" s="20">
        <f>IF(G29="","",IF(M29="Yes","Duplicate",IF(OR(R29="",R29="Pending"),"Review pending","")))</f>
        <v/>
      </c>
      <c r="AL29" s="18" t="inlineStr">
        <is>
          <t>R96</t>
        </is>
      </c>
      <c r="AO29" s="20" t="inlineStr">
        <is>
          <t>Systematically reviews how GenAI affects learning outcomes, student over-reliance, assessment integrity and teaching practices in computing education. Relevant across several assessment categories, particularly assessment redesign and individual verification.</t>
        </is>
      </c>
      <c r="AP29" s="20" t="inlineStr">
        <is>
          <t>AI-resistant assessment design, verification of individual understanding, and structured integration of AI into computing coursework.</t>
        </is>
      </c>
      <c r="AQ29" s="20" t="inlineStr">
        <is>
          <t>Direct, ChatGPT, GitHub Copilot and other GenAI tools used in computing/programming education.</t>
        </is>
      </c>
      <c r="AR29" s="20" t="inlineStr">
        <is>
          <t>Extremely relevant to authentic and secure computing assessment. Provides synthesized evidence for the need to verify individual capability and redesign assessments. Discipline: Computing and Programming Education.</t>
        </is>
      </c>
      <c r="AS29" s="20" t="inlineStr">
        <is>
          <t>Secondary evidence rather than a new assessment experiment. Findings depend on the quality and diversity of included studies. Long-term learning outcomes and equity evidence remain limited.</t>
        </is>
      </c>
      <c r="AT29" s="20" t="inlineStr">
        <is>
          <t>Include (core), directly addresses the research problem.</t>
        </is>
      </c>
      <c r="AU29" s="20" t="n"/>
      <c r="AV29" s="20" t="n"/>
      <c r="AW29" s="20" t="n"/>
      <c r="AX29" s="20" t="inlineStr">
        <is>
          <t>Background, outside main synthesis</t>
        </is>
      </c>
      <c r="AY29" s="20" t="inlineStr">
        <is>
          <t>Tighter relevance screen of supplied title, context and summary; not a new full-text assessment.</t>
        </is>
      </c>
      <c r="AZ29" s="20" t="inlineStr">
        <is>
          <t>Secondary synthesis or broad review; retain to frame or locate primary studies, outside the direct assessment-study synthesis.</t>
        </is>
      </c>
      <c r="BA29" s="20" t="inlineStr">
        <is>
          <t>Not independently checked against original full text.</t>
        </is>
      </c>
    </row>
    <row r="30" ht="110.1" customHeight="1">
      <c r="A30" s="11" t="inlineStr">
        <is>
          <t>R29</t>
        </is>
      </c>
      <c r="B30" s="11" t="inlineStr">
        <is>
          <t>14/10/2026</t>
        </is>
      </c>
      <c r="C30" s="11" t="inlineStr">
        <is>
          <t>User paper list, item 14</t>
        </is>
      </c>
      <c r="D30" s="23" t="inlineStr">
        <is>
          <t>Mapping Research on Generative Artificial Intelligence for Programming Education: A Systematic Review Original file: Relevant Papers 2022-26(1).docx</t>
        </is>
      </c>
      <c r="E30" s="11" t="n"/>
      <c r="F30" s="11" t="n">
        <v>2026</v>
      </c>
      <c r="G30" s="11" t="inlineStr">
        <is>
          <t>Mapping Research on Generative Artificial Intelligence for Programming Education: A Systematic Review</t>
        </is>
      </c>
      <c r="H30" s="11" t="n"/>
      <c r="I30" s="11" t="inlineStr">
        <is>
          <t>https://doi.org/10.1002/jcal.70341</t>
        </is>
      </c>
      <c r="J30" s="11" t="inlineStr">
        <is>
          <t>Journal article (source list; verify)</t>
        </is>
      </c>
      <c r="K30" s="11" t="n"/>
      <c r="L30" s="11" t="inlineStr">
        <is>
          <t>Computer Science and programming assessments</t>
        </is>
      </c>
      <c r="M30" s="11" t="inlineStr">
        <is>
          <t>No</t>
        </is>
      </c>
      <c r="N30" s="11" t="n"/>
      <c r="O30" s="11" t="inlineStr">
        <is>
          <t>Include</t>
        </is>
      </c>
      <c r="P30" s="11" t="n"/>
      <c r="Q30" s="11" t="n"/>
      <c r="R30" s="13" t="inlineStr">
        <is>
          <t>Background</t>
        </is>
      </c>
      <c r="S30" s="11" t="n"/>
      <c r="T30" s="11" t="n"/>
      <c r="U30" s="11" t="inlineStr">
        <is>
          <t>Source-list summary (not verified against full text): Synthesises research on GenAI in programming education. Useful for identifying patterns and gaps in the evidence.</t>
        </is>
      </c>
      <c r="V30" s="11" t="n"/>
      <c r="W30"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30" s="20">
        <f>IF(G30="","",IF(F30="","",IF(AND(F30&gt;=2022,F30&lt;=2024),"Review 2026 applicability","")))</f>
        <v/>
      </c>
      <c r="AE30" s="20" t="n"/>
      <c r="AF30" s="20">
        <f>IF(G30="","",IF(I30="","",IF(COUNTIF($I$2:$I$100,I30)&gt;1,"Check duplicate","")))</f>
        <v/>
      </c>
      <c r="AG30" s="20">
        <f>IF(G30="","",IF(M30="Yes","Duplicate",IF(OR(R30="",R30="Pending"),"Review pending","")))</f>
        <v/>
      </c>
      <c r="AL30" s="18" t="inlineStr">
        <is>
          <t>R96</t>
        </is>
      </c>
      <c r="AO30" s="20" t="n"/>
      <c r="AP30" s="20" t="n"/>
      <c r="AQ30" s="20" t="n"/>
      <c r="AR30" s="20" t="n"/>
      <c r="AS30" s="20" t="n"/>
      <c r="AT30" s="20" t="n"/>
      <c r="AU30" s="20" t="n"/>
      <c r="AV30" s="20" t="n"/>
      <c r="AW30" s="20" t="n"/>
      <c r="AX30" s="20" t="inlineStr">
        <is>
          <t>Background, outside main synthesis</t>
        </is>
      </c>
      <c r="AY30" s="20" t="inlineStr">
        <is>
          <t>Tighter relevance screen of supplied title, context and summary; not a new full-text assessment.</t>
        </is>
      </c>
      <c r="AZ30" s="20" t="inlineStr">
        <is>
          <t>Secondary synthesis or broad review; retain to frame or locate primary studies, outside the direct assessment-study synthesis.</t>
        </is>
      </c>
      <c r="BA30" s="20" t="inlineStr">
        <is>
          <t>Not independently checked against original full text.</t>
        </is>
      </c>
    </row>
    <row r="31" ht="110.1" customHeight="1">
      <c r="A31" s="11" t="inlineStr">
        <is>
          <t>R30</t>
        </is>
      </c>
      <c r="B31" s="11" t="inlineStr">
        <is>
          <t>14/10/2026</t>
        </is>
      </c>
      <c r="C31" s="11" t="inlineStr">
        <is>
          <t>User paper list, item 15</t>
        </is>
      </c>
      <c r="D31" s="23" t="inlineStr">
        <is>
          <t>A systematic review of the impact of GenAI on learning performance, AI hallucinations, and problem-solving in computer science education Original file: Relevant Papers 2022-26(1).docx</t>
        </is>
      </c>
      <c r="E31" s="11" t="n"/>
      <c r="F31" s="11" t="n">
        <v>2026</v>
      </c>
      <c r="G31" s="11" t="inlineStr">
        <is>
          <t>A systematic review of the impact of GenAI on learning performance, AI hallucinations, and problem-solving in computer science education</t>
        </is>
      </c>
      <c r="H31" s="11" t="n"/>
      <c r="I31" s="11" t="inlineStr">
        <is>
          <t>https://doi.org/10.1016/j.caeai.2026.100570</t>
        </is>
      </c>
      <c r="J31" s="11" t="inlineStr">
        <is>
          <t>Journal article (source list; verify)</t>
        </is>
      </c>
      <c r="K31" s="11" t="n"/>
      <c r="L31" s="11" t="inlineStr">
        <is>
          <t>Computer Science and programming assessments</t>
        </is>
      </c>
      <c r="M31" s="11" t="inlineStr">
        <is>
          <t>No</t>
        </is>
      </c>
      <c r="N31" s="11" t="n"/>
      <c r="O31" s="11" t="inlineStr">
        <is>
          <t>Include</t>
        </is>
      </c>
      <c r="P31" s="11" t="n"/>
      <c r="Q31" s="11" t="n"/>
      <c r="R31" s="13" t="inlineStr">
        <is>
          <t>Background</t>
        </is>
      </c>
      <c r="S31" s="11" t="n"/>
      <c r="T31" s="11" t="n"/>
      <c r="U31" s="11" t="inlineStr">
        <is>
          <t>Source-list summary (not verified against full text): Reviews learning performance and reliability issues in GenAI-supported computing education. Particularly relevant to problem-solving and detecting AI errors.</t>
        </is>
      </c>
      <c r="V31" s="11" t="n"/>
      <c r="W31"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31" s="20">
        <f>IF(G31="","",IF(F31="","",IF(AND(F31&gt;=2022,F31&lt;=2024),"Review 2026 applicability","")))</f>
        <v/>
      </c>
      <c r="AE31" s="20" t="n"/>
      <c r="AF31" s="20">
        <f>IF(G31="","",IF(I31="","",IF(COUNTIF($I$2:$I$100,I31)&gt;1,"Check duplicate","")))</f>
        <v/>
      </c>
      <c r="AG31" s="20">
        <f>IF(G31="","",IF(M31="Yes","Duplicate",IF(OR(R31="",R31="Pending"),"Review pending","")))</f>
        <v/>
      </c>
      <c r="AL31" s="18" t="inlineStr">
        <is>
          <t>R96</t>
        </is>
      </c>
      <c r="AO31" s="20" t="n"/>
      <c r="AP31" s="20" t="n"/>
      <c r="AQ31" s="20" t="n"/>
      <c r="AR31" s="20" t="n"/>
      <c r="AS31" s="20" t="n"/>
      <c r="AT31" s="20" t="n"/>
      <c r="AU31" s="20" t="n"/>
      <c r="AV31" s="20" t="n"/>
      <c r="AW31" s="20" t="n"/>
      <c r="AX31" s="20" t="inlineStr">
        <is>
          <t>Background, outside main synthesis</t>
        </is>
      </c>
      <c r="AY31" s="20" t="inlineStr">
        <is>
          <t>Tighter relevance screen of supplied title, context and summary; not a new full-text assessment.</t>
        </is>
      </c>
      <c r="AZ31" s="20" t="inlineStr">
        <is>
          <t>Secondary synthesis or broad review; retain to frame or locate primary studies, outside the direct assessment-study synthesis.</t>
        </is>
      </c>
      <c r="BA31" s="20" t="inlineStr">
        <is>
          <t>Not independently checked against original full text.</t>
        </is>
      </c>
    </row>
    <row r="32" ht="110.1" customHeight="1">
      <c r="A32" s="11" t="inlineStr">
        <is>
          <t>R31</t>
        </is>
      </c>
      <c r="B32" s="11" t="inlineStr">
        <is>
          <t>14/10/2026</t>
        </is>
      </c>
      <c r="C32" s="11" t="inlineStr">
        <is>
          <t>User paper list, item 16</t>
        </is>
      </c>
      <c r="D32" s="23" t="inlineStr">
        <is>
          <t>Literature Review on the Integration of Generative AI in Programming Education Original file: Relevant Papers 2022-26(1).docx</t>
        </is>
      </c>
      <c r="E32" s="11" t="n"/>
      <c r="F32" s="11" t="n">
        <v>2025</v>
      </c>
      <c r="G32" s="11" t="inlineStr">
        <is>
          <t>Literature Review on the Integration of Generative AI in Programming Education</t>
        </is>
      </c>
      <c r="H32" s="11" t="n"/>
      <c r="I32" s="11" t="inlineStr">
        <is>
          <t>https://doi.org/10.1007/s40593-025-00524-3</t>
        </is>
      </c>
      <c r="J32" s="11" t="inlineStr">
        <is>
          <t>Journal article (source list; verify)</t>
        </is>
      </c>
      <c r="K32" s="11" t="n"/>
      <c r="L32" s="11" t="inlineStr">
        <is>
          <t>Computer Science and programming assessments</t>
        </is>
      </c>
      <c r="M32" s="11" t="inlineStr">
        <is>
          <t>No</t>
        </is>
      </c>
      <c r="N32" s="11" t="n"/>
      <c r="O32" s="11" t="inlineStr">
        <is>
          <t>Include</t>
        </is>
      </c>
      <c r="P32" s="11" t="n"/>
      <c r="Q32" s="11" t="n"/>
      <c r="R32" s="13" t="inlineStr">
        <is>
          <t>Background</t>
        </is>
      </c>
      <c r="S32" s="11" t="n"/>
      <c r="T32" s="11" t="n"/>
      <c r="U32" s="11" t="inlineStr">
        <is>
          <t>Source-list summary (not verified against full text): Reviews how GenAI is incorporated into programming teaching and learning. Provides context for selecting assessment methods in coding courses.</t>
        </is>
      </c>
      <c r="V32" s="11" t="n"/>
      <c r="W32"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32" s="20">
        <f>IF(G32="","",IF(F32="","",IF(AND(F32&gt;=2022,F32&lt;=2024),"Review 2026 applicability","")))</f>
        <v/>
      </c>
      <c r="AE32" s="20" t="n"/>
      <c r="AF32" s="20">
        <f>IF(G32="","",IF(I32="","",IF(COUNTIF($I$2:$I$100,I32)&gt;1,"Check duplicate","")))</f>
        <v/>
      </c>
      <c r="AG32" s="20">
        <f>IF(G32="","",IF(M32="Yes","Duplicate",IF(OR(R32="",R32="Pending"),"Review pending","")))</f>
        <v/>
      </c>
      <c r="AL32" s="18" t="inlineStr">
        <is>
          <t>R96</t>
        </is>
      </c>
      <c r="AO32" s="20" t="n"/>
      <c r="AP32" s="20" t="n"/>
      <c r="AQ32" s="20" t="n"/>
      <c r="AR32" s="20" t="n"/>
      <c r="AS32" s="20" t="n"/>
      <c r="AT32" s="20" t="n"/>
      <c r="AU32" s="20" t="n"/>
      <c r="AV32" s="20" t="n"/>
      <c r="AW32" s="20" t="n"/>
      <c r="AX32" s="20" t="inlineStr">
        <is>
          <t>Background, outside main synthesis</t>
        </is>
      </c>
      <c r="AY32" s="20" t="inlineStr">
        <is>
          <t>Tighter relevance screen of supplied title, context and summary; not a new full-text assessment.</t>
        </is>
      </c>
      <c r="AZ32" s="20" t="inlineStr">
        <is>
          <t>Secondary synthesis or broad review; retain to frame or locate primary studies, outside the direct assessment-study synthesis.</t>
        </is>
      </c>
      <c r="BA32" s="20" t="inlineStr">
        <is>
          <t>Not independently checked against original full text.</t>
        </is>
      </c>
    </row>
    <row r="33" ht="108" customHeight="1">
      <c r="A33" s="11" t="inlineStr">
        <is>
          <t>R32</t>
        </is>
      </c>
      <c r="B33" s="11" t="inlineStr">
        <is>
          <t>14/10/2026</t>
        </is>
      </c>
      <c r="C33" s="11" t="inlineStr">
        <is>
          <t>User paper list, item 17</t>
        </is>
      </c>
      <c r="D33" s="23" t="inlineStr">
        <is>
          <t>Artificial intelligence in computer programming education: A systematic literature review Original file: Relevant Papers 2022-26(1).docx</t>
        </is>
      </c>
      <c r="E33" s="11" t="inlineStr">
        <is>
          <t>Manorat, Tuarob &amp; Pongpaichet</t>
        </is>
      </c>
      <c r="F33" s="11" t="n">
        <v>2025</v>
      </c>
      <c r="G33" s="11" t="inlineStr">
        <is>
          <t>Artificial Intelligence in Computer Programming Education: A Systematic Literature Review</t>
        </is>
      </c>
      <c r="H33" s="11" t="inlineStr">
        <is>
          <t>Computers and Education: Artificial Intelligence, Volume 8, Article 100403</t>
        </is>
      </c>
      <c r="I33" s="11" t="inlineStr">
        <is>
          <t>https://doi.org/10.1016/j.caeai.2025.100403</t>
        </is>
      </c>
      <c r="J33" s="11" t="inlineStr">
        <is>
          <t>Journal article</t>
        </is>
      </c>
      <c r="K33" s="11" t="inlineStr">
        <is>
          <t>Systematic literature review of 119 studies published between 2012 and 2024, categorized into four educational application areas.</t>
        </is>
      </c>
      <c r="L33" s="11" t="inlineStr">
        <is>
          <t>Provides computing-specific background on AI-supported assessment and how programming skills are evaluated. Discipline: Computer Programming Education.</t>
        </is>
      </c>
      <c r="M33" s="11" t="inlineStr">
        <is>
          <t>No</t>
        </is>
      </c>
      <c r="N33" s="11" t="n"/>
      <c r="O33" s="11" t="inlineStr">
        <is>
          <t>Include</t>
        </is>
      </c>
      <c r="P33" s="11" t="n"/>
      <c r="Q33" s="11" t="n"/>
      <c r="R33" s="13" t="inlineStr">
        <is>
          <t>Background</t>
        </is>
      </c>
      <c r="S33" s="11" t="inlineStr">
        <is>
          <t>High</t>
        </is>
      </c>
      <c r="T33" s="11" t="n"/>
      <c r="U33" s="11" t="inlineStr">
        <is>
          <t>Extraction supplied in tables.docx (not independently verified): AI has applications in programming assessment, feedback, course design and performance monitoring. The review identifies research trends and opportunities for improving programming education.</t>
        </is>
      </c>
      <c r="V33" s="11" t="n"/>
      <c r="W33" s="11" t="inlineStr">
        <is>
          <t>Imported from supplied paper list. Verify author(s), journal, year and DOI; retrieve full text, screen and extract supporting pages. No full-text review completed.
Detailed extraction imported from tables.docx. Source recommendation retained separately; verify against full text before final screening. 
Also listed in tables.pdf, entry 2. Existing extraction retained.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33" s="20">
        <f>IF(G33="","",IF(F33="","",IF(AND(F33&gt;=2022,F33&lt;=2024),"Review 2026 applicability","")))</f>
        <v/>
      </c>
      <c r="AE33" s="20" t="n"/>
      <c r="AF33" s="20">
        <f>IF(G33="","",IF(I33="","",IF(COUNTIF($I$2:$I$100,I33)&gt;1,"Check duplicate","")))</f>
        <v/>
      </c>
      <c r="AG33" s="20">
        <f>IF(G33="","",IF(M33="Yes","Duplicate",IF(OR(R33="",R33="Pending"),"Review pending","")))</f>
        <v/>
      </c>
      <c r="AL33" s="18" t="inlineStr">
        <is>
          <t>R96</t>
        </is>
      </c>
      <c r="AO33" s="20" t="inlineStr">
        <is>
          <t>Reviews AI applications throughout programming education, including course design, teaching, assessment, feedback and performance monitoring. Most relevant to supervised/unsupervised programming assessments, although it does not directly compare all eight strategies.</t>
        </is>
      </c>
      <c r="AP33" s="20" t="inlineStr">
        <is>
          <t>AI-supported programming assessment, automated grading and feedback, combined with appropriate measures of actual programming knowledge.</t>
        </is>
      </c>
      <c r="AQ33" s="20" t="inlineStr">
        <is>
          <t>Mixed, covers traditional AI/ML and more recent AI tools; not exclusively GenAI.</t>
        </is>
      </c>
      <c r="AR33" s="20" t="inlineStr">
        <is>
          <t>Provides computing-specific background on AI-supported assessment and how programming skills are evaluated. Discipline: Computer Programming Education.</t>
        </is>
      </c>
      <c r="AS33" s="20" t="inlineStr">
        <is>
          <t>Broad coverage of AI applications rather than a focused evaluation of authentic and secure GenAI-era assessment. Earlier studies predate modern GenAI.</t>
        </is>
      </c>
      <c r="AT33" s="20" t="inlineStr">
        <is>
          <t>Include (core/supporting), particularly useful for programming assessment context.</t>
        </is>
      </c>
      <c r="AU33" s="20" t="n"/>
      <c r="AV33" s="20" t="n"/>
      <c r="AW33" s="20" t="n"/>
      <c r="AX33" s="20" t="inlineStr">
        <is>
          <t>Background, outside main synthesis</t>
        </is>
      </c>
      <c r="AY33" s="20" t="inlineStr">
        <is>
          <t>Tighter relevance screen of supplied title, context and summary; not a new full-text assessment.</t>
        </is>
      </c>
      <c r="AZ33" s="20" t="inlineStr">
        <is>
          <t>Secondary synthesis or broad review; retain to frame or locate primary studies, outside the direct assessment-study synthesis.</t>
        </is>
      </c>
      <c r="BA33" s="20" t="inlineStr">
        <is>
          <t>Not independently checked against original full text.</t>
        </is>
      </c>
    </row>
    <row r="34" ht="110.1" customHeight="1">
      <c r="A34" s="11" t="inlineStr">
        <is>
          <t>R33</t>
        </is>
      </c>
      <c r="B34" s="11" t="inlineStr">
        <is>
          <t>14/10/2026</t>
        </is>
      </c>
      <c r="C34" s="11" t="inlineStr">
        <is>
          <t>User paper list, item 18</t>
        </is>
      </c>
      <c r="D34" s="23" t="inlineStr">
        <is>
          <t>Integrating Generative AI into Programming Education: Student Perceptions and the Challenge of Correcting AI Errors Original file: Relevant Papers 2022-26(1).docx</t>
        </is>
      </c>
      <c r="E34" s="11" t="n"/>
      <c r="F34" s="11" t="n">
        <v>2025</v>
      </c>
      <c r="G34" s="11" t="inlineStr">
        <is>
          <t>Integrating Generative AI into Programming Education: Student Perceptions and the Challenge of Correcting AI Errors</t>
        </is>
      </c>
      <c r="H34" s="11" t="n"/>
      <c r="I34" s="11" t="inlineStr">
        <is>
          <t>https://doi.org/10.1007/s40593-025-00496-4</t>
        </is>
      </c>
      <c r="J34" s="11" t="inlineStr">
        <is>
          <t>Journal article (source list; verify)</t>
        </is>
      </c>
      <c r="K34" s="11" t="n"/>
      <c r="L34" s="11" t="inlineStr">
        <is>
          <t>Computer Science and programming assessments</t>
        </is>
      </c>
      <c r="M34" s="11" t="inlineStr">
        <is>
          <t>No</t>
        </is>
      </c>
      <c r="N34" s="11" t="n"/>
      <c r="O34" s="11" t="inlineStr">
        <is>
          <t>Include</t>
        </is>
      </c>
      <c r="P34" s="11" t="n"/>
      <c r="Q34" s="11" t="n"/>
      <c r="R34" s="13" t="inlineStr">
        <is>
          <t>Background</t>
        </is>
      </c>
      <c r="S34" s="11" t="n"/>
      <c r="T34" s="11" t="n"/>
      <c r="U34" s="11" t="inlineStr">
        <is>
          <t>Source-list summary (not verified against full text): Investigates the challenge of recognising and fixing erroneous AI-generated code. Directly supports error-correction tasks as assessment evidence.</t>
        </is>
      </c>
      <c r="V34" s="11" t="n"/>
      <c r="W34" s="11" t="inlineStr">
        <is>
          <t>Imported from supplied paper list. Verify author(s), journal, year and DOI; retrieve full text, screen and extract supporting pages. No full-text review completed.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34" s="20">
        <f>IF(G34="","",IF(F34="","",IF(AND(F34&gt;=2022,F34&lt;=2024),"Review 2026 applicability","")))</f>
        <v/>
      </c>
      <c r="AE34" s="20" t="n"/>
      <c r="AF34" s="20">
        <f>IF(G34="","",IF(I34="","",IF(COUNTIF($I$2:$I$100,I34)&gt;1,"Check duplicate","")))</f>
        <v/>
      </c>
      <c r="AG34" s="20">
        <f>IF(G34="","",IF(M34="Yes","Duplicate",IF(OR(R34="",R34="Pending"),"Review pending","")))</f>
        <v/>
      </c>
      <c r="AL34" s="18" t="inlineStr">
        <is>
          <t>R96</t>
        </is>
      </c>
      <c r="AO34" s="20" t="n"/>
      <c r="AP34" s="20" t="n"/>
      <c r="AQ34" s="20" t="n"/>
      <c r="AR34" s="20" t="n"/>
      <c r="AS34" s="20" t="n"/>
      <c r="AT34" s="20" t="n"/>
      <c r="AU34" s="20" t="n"/>
      <c r="AV34" s="20" t="n"/>
      <c r="AW34" s="20" t="n"/>
      <c r="AX34" s="20" t="inlineStr">
        <is>
          <t>Background, outside main synthesis</t>
        </is>
      </c>
      <c r="AY34" s="20" t="inlineStr">
        <is>
          <t>Tighter relevance screen of supplied title, context and summary; not a new full-text assessment.</t>
        </is>
      </c>
      <c r="AZ34" s="20" t="inlineStr">
        <is>
          <t>Broad AI, learning, literacy or policy context, or insufficient direct assessment-design evidence in the supplied summary; retain for background only.</t>
        </is>
      </c>
      <c r="BA34" s="20" t="inlineStr">
        <is>
          <t>Not independently checked against original full text.</t>
        </is>
      </c>
    </row>
    <row r="35" ht="110.1" customHeight="1">
      <c r="A35" s="11" t="inlineStr">
        <is>
          <t>R34</t>
        </is>
      </c>
      <c r="B35" s="11" t="inlineStr">
        <is>
          <t>14/10/2026</t>
        </is>
      </c>
      <c r="C35" s="11" t="inlineStr">
        <is>
          <t>User paper list, item 19</t>
        </is>
      </c>
      <c r="D35" s="23" t="inlineStr">
        <is>
          <t>AI in the classroom: Exploring students’ interaction with ChatGPT in programming learning Original file: Relevant Papers 2022-26(1).docx</t>
        </is>
      </c>
      <c r="E35" s="11" t="n"/>
      <c r="F35" s="11" t="n">
        <v>2025</v>
      </c>
      <c r="G35" s="11" t="inlineStr">
        <is>
          <t>AI in the classroom: Exploring students’ interaction with ChatGPT in programming learning</t>
        </is>
      </c>
      <c r="H35" s="11" t="n"/>
      <c r="I35" s="11" t="inlineStr">
        <is>
          <t>https://doi.org/10.1007/s10639-025-13337-7</t>
        </is>
      </c>
      <c r="J35" s="11" t="inlineStr">
        <is>
          <t>Journal article (source list; verify)</t>
        </is>
      </c>
      <c r="K35" s="11" t="n"/>
      <c r="L35" s="11" t="inlineStr">
        <is>
          <t>Computer Science and programming assessments</t>
        </is>
      </c>
      <c r="M35" s="11" t="inlineStr">
        <is>
          <t>No</t>
        </is>
      </c>
      <c r="N35" s="11" t="n"/>
      <c r="O35" s="11" t="inlineStr">
        <is>
          <t>Include</t>
        </is>
      </c>
      <c r="P35" s="11" t="n"/>
      <c r="Q35" s="11" t="n"/>
      <c r="R35" s="13" t="inlineStr">
        <is>
          <t>Background</t>
        </is>
      </c>
      <c r="S35" s="11" t="n"/>
      <c r="T35" s="11" t="n"/>
      <c r="U35" s="11" t="inlineStr">
        <is>
          <t>Source-list summary (not verified against full text): Studies how programming students interact with ChatGPT. Relevant to assessing learning processes and AI-guidance behaviour.</t>
        </is>
      </c>
      <c r="V35" s="11" t="n"/>
      <c r="W35"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35" s="20">
        <f>IF(G35="","",IF(F35="","",IF(AND(F35&gt;=2022,F35&lt;=2024),"Review 2026 applicability","")))</f>
        <v/>
      </c>
      <c r="AE35" s="20" t="n"/>
      <c r="AF35" s="20">
        <f>IF(G35="","",IF(I35="","",IF(COUNTIF($I$2:$I$100,I35)&gt;1,"Check duplicate","")))</f>
        <v/>
      </c>
      <c r="AG35" s="20">
        <f>IF(G35="","",IF(M35="Yes","Duplicate",IF(OR(R35="",R35="Pending"),"Review pending","")))</f>
        <v/>
      </c>
      <c r="AL35" s="18" t="inlineStr">
        <is>
          <t>R96</t>
        </is>
      </c>
      <c r="AO35" s="20" t="n"/>
      <c r="AP35" s="20" t="n"/>
      <c r="AQ35" s="20" t="n"/>
      <c r="AR35" s="20" t="n"/>
      <c r="AS35" s="20" t="n"/>
      <c r="AT35" s="20" t="n"/>
      <c r="AU35" s="20" t="n"/>
      <c r="AV35" s="20" t="n"/>
      <c r="AW35" s="20" t="n"/>
      <c r="AX35" s="20" t="inlineStr">
        <is>
          <t>Background, outside main synthesis</t>
        </is>
      </c>
      <c r="AY35" s="20" t="inlineStr">
        <is>
          <t>Tighter relevance screen of supplied title, context and summary; not a new full-text assessment.</t>
        </is>
      </c>
      <c r="AZ35" s="20" t="inlineStr">
        <is>
          <t>Broad AI, learning, literacy or policy context, or insufficient direct assessment-design evidence in the supplied summary; retain for background only.</t>
        </is>
      </c>
      <c r="BA35" s="20" t="inlineStr">
        <is>
          <t>Not independently checked against original full text.</t>
        </is>
      </c>
    </row>
    <row r="36" ht="110.1" customHeight="1">
      <c r="A36" s="11" t="inlineStr">
        <is>
          <t>R35</t>
        </is>
      </c>
      <c r="B36" s="11" t="inlineStr">
        <is>
          <t>14/10/2026</t>
        </is>
      </c>
      <c r="C36" s="11" t="inlineStr">
        <is>
          <t>User paper list, item 20</t>
        </is>
      </c>
      <c r="D36" s="23" t="inlineStr">
        <is>
          <t>Would ChatGPT-facilitated programming mode impact college students’ programming behaviors, performances, and perceptions? An empirical study Original file: Relevant Papers 2022-26(1).docx</t>
        </is>
      </c>
      <c r="E36" s="11" t="n"/>
      <c r="F36" s="11" t="n">
        <v>2024</v>
      </c>
      <c r="G36" s="11" t="inlineStr">
        <is>
          <t>Would ChatGPT-facilitated programming mode impact college students’ programming behaviors, performances, and perceptions? An empirical study</t>
        </is>
      </c>
      <c r="H36" s="11" t="n"/>
      <c r="I36" s="11" t="inlineStr">
        <is>
          <t>https://doi.org/10.1186/s41239-024-00446-5</t>
        </is>
      </c>
      <c r="J36" s="11" t="inlineStr">
        <is>
          <t>Journal article (source list; verify)</t>
        </is>
      </c>
      <c r="K36" s="11" t="n"/>
      <c r="L36" s="11" t="inlineStr">
        <is>
          <t>Computer Science and programming assessments</t>
        </is>
      </c>
      <c r="M36" s="11" t="inlineStr">
        <is>
          <t>No</t>
        </is>
      </c>
      <c r="N36" s="11" t="n"/>
      <c r="O36" s="11" t="inlineStr">
        <is>
          <t>Include</t>
        </is>
      </c>
      <c r="P36" s="11" t="n"/>
      <c r="Q36" s="11" t="n"/>
      <c r="R36" s="13" t="inlineStr">
        <is>
          <t>Background</t>
        </is>
      </c>
      <c r="S36" s="11" t="n"/>
      <c r="T36" s="11" t="n"/>
      <c r="U36" s="11" t="inlineStr">
        <is>
          <t>Source-list summary (not verified against full text): Examines students’ programming behaviours and outcomes when using ChatGPT. Helps explore whether strong task performance indicates understanding.</t>
        </is>
      </c>
      <c r="V36" s="11" t="n"/>
      <c r="W36" s="11" t="inlineStr">
        <is>
          <t>Imported from supplied paper list. Verify author(s), journal, year and DOI; retrieve full text, screen and extract supporting pages. No full-text review completed.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36" s="20">
        <f>IF(G36="","",IF(F36="","",IF(AND(F36&gt;=2022,F36&lt;=2024),"Review 2026 applicability","")))</f>
        <v/>
      </c>
      <c r="AE36" s="20" t="n"/>
      <c r="AF36" s="20">
        <f>IF(G36="","",IF(I36="","",IF(COUNTIF($I$2:$I$100,I36)&gt;1,"Check duplicate","")))</f>
        <v/>
      </c>
      <c r="AG36" s="20">
        <f>IF(G36="","",IF(M36="Yes","Duplicate",IF(OR(R36="",R36="Pending"),"Review pending","")))</f>
        <v/>
      </c>
      <c r="AL36" s="18" t="inlineStr">
        <is>
          <t>R96</t>
        </is>
      </c>
      <c r="AO36" s="20" t="n"/>
      <c r="AP36" s="20" t="n"/>
      <c r="AQ36" s="20" t="n"/>
      <c r="AR36" s="20" t="n"/>
      <c r="AS36" s="20" t="n"/>
      <c r="AT36" s="20" t="n"/>
      <c r="AU36" s="20" t="n"/>
      <c r="AV36" s="20" t="n"/>
      <c r="AW36" s="20" t="n"/>
      <c r="AX36" s="20" t="inlineStr">
        <is>
          <t>Background, outside main synthesis</t>
        </is>
      </c>
      <c r="AY36" s="20" t="inlineStr">
        <is>
          <t>Tighter relevance screen of supplied title, context and summary; not a new full-text assessment.</t>
        </is>
      </c>
      <c r="AZ36" s="20" t="inlineStr">
        <is>
          <t>Broad AI, learning, literacy or policy context, or insufficient direct assessment-design evidence in the supplied summary; retain for background only.</t>
        </is>
      </c>
      <c r="BA36" s="20" t="inlineStr">
        <is>
          <t>Not independently checked against original full text.</t>
        </is>
      </c>
    </row>
    <row r="37" ht="110.1" customHeight="1">
      <c r="A37" s="11" t="inlineStr">
        <is>
          <t>R36</t>
        </is>
      </c>
      <c r="B37" s="11" t="inlineStr">
        <is>
          <t>14/10/2026</t>
        </is>
      </c>
      <c r="C37" s="11" t="inlineStr">
        <is>
          <t>User paper list, item 21</t>
        </is>
      </c>
      <c r="D37" s="23" t="inlineStr">
        <is>
          <t>ChatGPT in computer programming education: A review of current literature and applications Original file: Relevant Papers 2022-26(1).docx</t>
        </is>
      </c>
      <c r="E37" s="11" t="n"/>
      <c r="F37" s="11" t="n">
        <v>2026</v>
      </c>
      <c r="G37" s="11" t="inlineStr">
        <is>
          <t>ChatGPT in computer programming education: A review of current literature and applications</t>
        </is>
      </c>
      <c r="H37" s="11" t="n"/>
      <c r="I37" s="11" t="inlineStr">
        <is>
          <t>https://doi.org/10.14742/ajet.10588</t>
        </is>
      </c>
      <c r="J37" s="11" t="inlineStr">
        <is>
          <t>Journal article (source list; verify)</t>
        </is>
      </c>
      <c r="K37" s="11" t="n"/>
      <c r="L37" s="11" t="inlineStr">
        <is>
          <t>Computer Science and programming assessments</t>
        </is>
      </c>
      <c r="M37" s="11" t="inlineStr">
        <is>
          <t>No</t>
        </is>
      </c>
      <c r="N37" s="11" t="n"/>
      <c r="O37" s="11" t="inlineStr">
        <is>
          <t>Include</t>
        </is>
      </c>
      <c r="P37" s="11" t="n"/>
      <c r="Q37" s="11" t="n"/>
      <c r="R37" s="13" t="inlineStr">
        <is>
          <t>Background</t>
        </is>
      </c>
      <c r="S37" s="11" t="n"/>
      <c r="T37" s="11" t="n"/>
      <c r="U37" s="11" t="inlineStr">
        <is>
          <t>Source-list summary (not verified against full text): Reviews the use of ChatGPT in programming education. Provides teaching and assessment applications for computing courses.</t>
        </is>
      </c>
      <c r="V37" s="11" t="n"/>
      <c r="W37"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37" s="20">
        <f>IF(G37="","",IF(F37="","",IF(AND(F37&gt;=2022,F37&lt;=2024),"Review 2026 applicability","")))</f>
        <v/>
      </c>
      <c r="AE37" s="20" t="n"/>
      <c r="AF37" s="20">
        <f>IF(G37="","",IF(I37="","",IF(COUNTIF($I$2:$I$100,I37)&gt;1,"Check duplicate","")))</f>
        <v/>
      </c>
      <c r="AG37" s="20">
        <f>IF(G37="","",IF(M37="Yes","Duplicate",IF(OR(R37="",R37="Pending"),"Review pending","")))</f>
        <v/>
      </c>
      <c r="AL37" s="18" t="inlineStr">
        <is>
          <t>R96</t>
        </is>
      </c>
      <c r="AO37" s="20" t="n"/>
      <c r="AP37" s="20" t="n"/>
      <c r="AQ37" s="20" t="n"/>
      <c r="AR37" s="20" t="n"/>
      <c r="AS37" s="20" t="n"/>
      <c r="AT37" s="20" t="n"/>
      <c r="AU37" s="20" t="n"/>
      <c r="AV37" s="20" t="n"/>
      <c r="AW37" s="20" t="n"/>
      <c r="AX37" s="20" t="inlineStr">
        <is>
          <t>Background, outside main synthesis</t>
        </is>
      </c>
      <c r="AY37" s="20" t="inlineStr">
        <is>
          <t>Tighter relevance screen of supplied title, context and summary; not a new full-text assessment.</t>
        </is>
      </c>
      <c r="AZ37" s="20" t="inlineStr">
        <is>
          <t>Secondary synthesis or broad review; retain to frame or locate primary studies, outside the direct assessment-study synthesis.</t>
        </is>
      </c>
      <c r="BA37" s="20" t="inlineStr">
        <is>
          <t>Not independently checked against original full text.</t>
        </is>
      </c>
    </row>
    <row r="38" ht="110.1" customHeight="1">
      <c r="A38" s="11" t="inlineStr">
        <is>
          <t>R37</t>
        </is>
      </c>
      <c r="B38" s="11" t="inlineStr">
        <is>
          <t>14/10/2026</t>
        </is>
      </c>
      <c r="C38" s="11" t="inlineStr">
        <is>
          <t>User paper list, item 22</t>
        </is>
      </c>
      <c r="D38" s="23" t="inlineStr">
        <is>
          <t>Learning, Behavior, and Pedagogy: A Systematic Review of Generative AI Use in Programming Education Original file: Relevant Papers 2022-26(1).docx</t>
        </is>
      </c>
      <c r="E38" s="11" t="n"/>
      <c r="F38" s="11" t="n">
        <v>2026</v>
      </c>
      <c r="G38" s="11" t="inlineStr">
        <is>
          <t>Learning, Behavior, and Pedagogy: A Systematic Review of Generative AI Use in Programming Education</t>
        </is>
      </c>
      <c r="H38" s="11" t="n"/>
      <c r="I38" s="11" t="inlineStr">
        <is>
          <t>https://doi.org/10.18178/ijiet.2026.16.1.2487</t>
        </is>
      </c>
      <c r="J38" s="11" t="inlineStr">
        <is>
          <t>Journal article (source list; verify)</t>
        </is>
      </c>
      <c r="K38" s="11" t="n"/>
      <c r="L38" s="11" t="inlineStr">
        <is>
          <t>Computer Science and programming assessments</t>
        </is>
      </c>
      <c r="M38" s="11" t="inlineStr">
        <is>
          <t>No</t>
        </is>
      </c>
      <c r="N38" s="11" t="n"/>
      <c r="O38" s="11" t="inlineStr">
        <is>
          <t>Include</t>
        </is>
      </c>
      <c r="P38" s="11" t="n"/>
      <c r="Q38" s="11" t="n"/>
      <c r="R38" s="13" t="inlineStr">
        <is>
          <t>Background</t>
        </is>
      </c>
      <c r="S38" s="11" t="n"/>
      <c r="T38" s="11" t="n"/>
      <c r="U38" s="11" t="inlineStr">
        <is>
          <t>Source-list summary (not verified against full text): Reviews learning behaviour and pedagogy associated with GenAI in programming. Useful for process-based assessment recommendations.</t>
        </is>
      </c>
      <c r="V38" s="11" t="n"/>
      <c r="W38"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38" s="20">
        <f>IF(G38="","",IF(F38="","",IF(AND(F38&gt;=2022,F38&lt;=2024),"Review 2026 applicability","")))</f>
        <v/>
      </c>
      <c r="AE38" s="20" t="n"/>
      <c r="AF38" s="20">
        <f>IF(G38="","",IF(I38="","",IF(COUNTIF($I$2:$I$100,I38)&gt;1,"Check duplicate","")))</f>
        <v/>
      </c>
      <c r="AG38" s="20">
        <f>IF(G38="","",IF(M38="Yes","Duplicate",IF(OR(R38="",R38="Pending"),"Review pending","")))</f>
        <v/>
      </c>
      <c r="AL38" s="18" t="inlineStr">
        <is>
          <t>R96</t>
        </is>
      </c>
      <c r="AO38" s="20" t="n"/>
      <c r="AP38" s="20" t="n"/>
      <c r="AQ38" s="20" t="n"/>
      <c r="AR38" s="20" t="n"/>
      <c r="AS38" s="20" t="n"/>
      <c r="AT38" s="20" t="n"/>
      <c r="AU38" s="20" t="n"/>
      <c r="AV38" s="20" t="n"/>
      <c r="AW38" s="20" t="n"/>
      <c r="AX38" s="20" t="inlineStr">
        <is>
          <t>Background, outside main synthesis</t>
        </is>
      </c>
      <c r="AY38" s="20" t="inlineStr">
        <is>
          <t>Tighter relevance screen of supplied title, context and summary; not a new full-text assessment.</t>
        </is>
      </c>
      <c r="AZ38" s="20" t="inlineStr">
        <is>
          <t>Secondary synthesis or broad review; retain to frame or locate primary studies, outside the direct assessment-study synthesis.</t>
        </is>
      </c>
      <c r="BA38" s="20" t="inlineStr">
        <is>
          <t>Not independently checked against original full text.</t>
        </is>
      </c>
    </row>
    <row r="39" ht="110.1" customHeight="1">
      <c r="A39" s="11" t="inlineStr">
        <is>
          <t>R38</t>
        </is>
      </c>
      <c r="B39" s="11" t="inlineStr">
        <is>
          <t>14/10/2026</t>
        </is>
      </c>
      <c r="C39" s="11" t="inlineStr">
        <is>
          <t>User paper list, item 23</t>
        </is>
      </c>
      <c r="D39" s="23" t="inlineStr">
        <is>
          <t>Artificial intelligence in programming education: A systematic review of intelligent, adaptive, and generative systems, learner outcomes, and implementation challenges Original file: Relevant Papers 2022-26(1).docx</t>
        </is>
      </c>
      <c r="E39" s="11" t="n"/>
      <c r="F39" s="11" t="n">
        <v>2026</v>
      </c>
      <c r="G39" s="11" t="inlineStr">
        <is>
          <t>Artificial intelligence in programming education: A systematic review of intelligent, adaptive, and generative systems, learner outcomes, and implementation challenges</t>
        </is>
      </c>
      <c r="H39" s="11" t="n"/>
      <c r="I39" s="11" t="inlineStr">
        <is>
          <t>https://doi.org/10.1016/j.heliyon.2026.e45361</t>
        </is>
      </c>
      <c r="J39" s="11" t="inlineStr">
        <is>
          <t>Journal article (source list; verify)</t>
        </is>
      </c>
      <c r="K39" s="11" t="n"/>
      <c r="L39" s="11" t="inlineStr">
        <is>
          <t>Computer Science and programming assessments</t>
        </is>
      </c>
      <c r="M39" s="11" t="inlineStr">
        <is>
          <t>No</t>
        </is>
      </c>
      <c r="N39" s="11" t="n"/>
      <c r="O39" s="11" t="inlineStr">
        <is>
          <t>Include</t>
        </is>
      </c>
      <c r="P39" s="11" t="n"/>
      <c r="Q39" s="11" t="n"/>
      <c r="R39" s="13" t="inlineStr">
        <is>
          <t>Background</t>
        </is>
      </c>
      <c r="S39" s="11" t="n"/>
      <c r="T39" s="11" t="n"/>
      <c r="U39" s="11" t="inlineStr">
        <is>
          <t>Source-list summary (not verified against full text): Surveys AI systems and implementation challenges in programming education. Supports a balanced account of benefits and learning risks.</t>
        </is>
      </c>
      <c r="V39" s="11" t="n"/>
      <c r="W39"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39" s="20">
        <f>IF(G39="","",IF(F39="","",IF(AND(F39&gt;=2022,F39&lt;=2024),"Review 2026 applicability","")))</f>
        <v/>
      </c>
      <c r="AE39" s="20" t="n"/>
      <c r="AF39" s="20">
        <f>IF(G39="","",IF(I39="","",IF(COUNTIF($I$2:$I$100,I39)&gt;1,"Check duplicate","")))</f>
        <v/>
      </c>
      <c r="AG39" s="20">
        <f>IF(G39="","",IF(M39="Yes","Duplicate",IF(OR(R39="",R39="Pending"),"Review pending","")))</f>
        <v/>
      </c>
      <c r="AL39" s="18" t="inlineStr">
        <is>
          <t>R96</t>
        </is>
      </c>
      <c r="AO39" s="20" t="n"/>
      <c r="AP39" s="20" t="n"/>
      <c r="AQ39" s="20" t="n"/>
      <c r="AR39" s="20" t="n"/>
      <c r="AS39" s="20" t="n"/>
      <c r="AT39" s="20" t="n"/>
      <c r="AU39" s="20" t="n"/>
      <c r="AV39" s="20" t="n"/>
      <c r="AW39" s="20" t="n"/>
      <c r="AX39" s="20" t="inlineStr">
        <is>
          <t>Background, outside main synthesis</t>
        </is>
      </c>
      <c r="AY39" s="20" t="inlineStr">
        <is>
          <t>Tighter relevance screen of supplied title, context and summary; not a new full-text assessment.</t>
        </is>
      </c>
      <c r="AZ39" s="20" t="inlineStr">
        <is>
          <t>Secondary synthesis or broad review; retain to frame or locate primary studies, outside the direct assessment-study synthesis.</t>
        </is>
      </c>
      <c r="BA39" s="20" t="inlineStr">
        <is>
          <t>Not independently checked against original full text.</t>
        </is>
      </c>
    </row>
    <row r="40" ht="110.1" customHeight="1">
      <c r="A40" s="11" t="inlineStr">
        <is>
          <t>R39</t>
        </is>
      </c>
      <c r="B40" s="11" t="inlineStr">
        <is>
          <t>14/10/2026</t>
        </is>
      </c>
      <c r="C40" s="11" t="inlineStr">
        <is>
          <t>User paper list, item 24</t>
        </is>
      </c>
      <c r="D40" s="23" t="inlineStr">
        <is>
          <t>Impact of ChatGPT on learning outcomes and performance of students in computer programming courses: a mixed-method approach Original file: Relevant Papers 2022-26(1).docx</t>
        </is>
      </c>
      <c r="E40" s="11" t="n"/>
      <c r="F40" s="11" t="n">
        <v>2026</v>
      </c>
      <c r="G40" s="11" t="inlineStr">
        <is>
          <t>Impact of ChatGPT on learning outcomes and performance of students in computer programming courses: a mixed-method approach</t>
        </is>
      </c>
      <c r="H40" s="11" t="n"/>
      <c r="I40" s="11" t="inlineStr">
        <is>
          <t>https://doi.org/10.1007/s44217-026-01142-4</t>
        </is>
      </c>
      <c r="J40" s="11" t="inlineStr">
        <is>
          <t>Journal article (source list; verify)</t>
        </is>
      </c>
      <c r="K40" s="11" t="n"/>
      <c r="L40" s="11" t="inlineStr">
        <is>
          <t>Computer Science and programming assessments</t>
        </is>
      </c>
      <c r="M40" s="11" t="inlineStr">
        <is>
          <t>No</t>
        </is>
      </c>
      <c r="N40" s="11" t="n"/>
      <c r="O40" s="11" t="inlineStr">
        <is>
          <t>Include</t>
        </is>
      </c>
      <c r="P40" s="11" t="n"/>
      <c r="Q40" s="11" t="n"/>
      <c r="R40" s="13" t="inlineStr">
        <is>
          <t>Background</t>
        </is>
      </c>
      <c r="S40" s="11" t="n"/>
      <c r="T40" s="11" t="n"/>
      <c r="U40" s="11" t="inlineStr">
        <is>
          <t>Source-list summary (not verified against full text): Examines learning performance in programming courses using mixed methods. Relevant to separating task success from deeper learning.</t>
        </is>
      </c>
      <c r="V40" s="11" t="n"/>
      <c r="W40"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40" s="20">
        <f>IF(G40="","",IF(F40="","",IF(AND(F40&gt;=2022,F40&lt;=2024),"Review 2026 applicability","")))</f>
        <v/>
      </c>
      <c r="AE40" s="20" t="n"/>
      <c r="AF40" s="20">
        <f>IF(G40="","",IF(I40="","",IF(COUNTIF($I$2:$I$100,I40)&gt;1,"Check duplicate","")))</f>
        <v/>
      </c>
      <c r="AG40" s="20">
        <f>IF(G40="","",IF(M40="Yes","Duplicate",IF(OR(R40="",R40="Pending"),"Review pending","")))</f>
        <v/>
      </c>
      <c r="AL40" s="18" t="inlineStr">
        <is>
          <t>R96</t>
        </is>
      </c>
      <c r="AO40" s="20" t="n"/>
      <c r="AP40" s="20" t="n"/>
      <c r="AQ40" s="20" t="n"/>
      <c r="AR40" s="20" t="n"/>
      <c r="AS40" s="20" t="n"/>
      <c r="AT40" s="20" t="n"/>
      <c r="AU40" s="20" t="n"/>
      <c r="AV40" s="20" t="n"/>
      <c r="AW40" s="20" t="n"/>
      <c r="AX40" s="20" t="inlineStr">
        <is>
          <t>Background, outside main synthesis</t>
        </is>
      </c>
      <c r="AY40" s="20" t="inlineStr">
        <is>
          <t>Tighter relevance screen of supplied title, context and summary; not a new full-text assessment.</t>
        </is>
      </c>
      <c r="AZ40" s="20" t="inlineStr">
        <is>
          <t>Broad AI, learning, literacy or policy context, or insufficient direct assessment-design evidence in the supplied summary; retain for background only.</t>
        </is>
      </c>
      <c r="BA40" s="20" t="inlineStr">
        <is>
          <t>Not independently checked against original full text.</t>
        </is>
      </c>
    </row>
    <row r="41" ht="110.1" customHeight="1">
      <c r="A41" s="11" t="inlineStr">
        <is>
          <t>R40</t>
        </is>
      </c>
      <c r="B41" s="11" t="inlineStr">
        <is>
          <t>14/10/2026</t>
        </is>
      </c>
      <c r="C41" s="11" t="inlineStr">
        <is>
          <t>User paper list, item 25</t>
        </is>
      </c>
      <c r="D41" s="23" t="inlineStr">
        <is>
          <t>The cognitive impact of ChatGPT in higher education: A systematic review of critical and creative thinking outcomes Original file: Relevant Papers 2022-26(1).docx</t>
        </is>
      </c>
      <c r="E41" s="11" t="n"/>
      <c r="F41" s="11" t="n">
        <v>2026</v>
      </c>
      <c r="G41" s="11" t="inlineStr">
        <is>
          <t>The cognitive impact of ChatGPT in higher education: A systematic review of critical and creative thinking outcomes</t>
        </is>
      </c>
      <c r="H41" s="11" t="n"/>
      <c r="I41" s="11" t="inlineStr">
        <is>
          <t>https://doi.org/10.1016/j.caeai.2026.100571</t>
        </is>
      </c>
      <c r="J41" s="11" t="inlineStr">
        <is>
          <t>Journal article (source list; verify)</t>
        </is>
      </c>
      <c r="K41" s="11" t="n"/>
      <c r="L41" s="11" t="inlineStr">
        <is>
          <t>Measuring understanding, reasoning and learning outcomes</t>
        </is>
      </c>
      <c r="M41" s="11" t="inlineStr">
        <is>
          <t>No</t>
        </is>
      </c>
      <c r="N41" s="11" t="n"/>
      <c r="O41" s="11" t="inlineStr">
        <is>
          <t>Include</t>
        </is>
      </c>
      <c r="P41" s="11" t="n"/>
      <c r="Q41" s="11" t="n"/>
      <c r="R41" s="13" t="inlineStr">
        <is>
          <t>Background</t>
        </is>
      </c>
      <c r="S41" s="11" t="n"/>
      <c r="T41" s="11" t="n"/>
      <c r="U41" s="11" t="inlineStr">
        <is>
          <t>Source-list summary (not verified against full text): Reviews evidence on critical and creative thinking when ChatGPT is used. Relevant to evaluating cognitive learning rather than output quality alone.</t>
        </is>
      </c>
      <c r="V41" s="11" t="n"/>
      <c r="W41"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41" s="20">
        <f>IF(G41="","",IF(F41="","",IF(AND(F41&gt;=2022,F41&lt;=2024),"Review 2026 applicability","")))</f>
        <v/>
      </c>
      <c r="AE41" s="20" t="n"/>
      <c r="AF41" s="20">
        <f>IF(G41="","",IF(I41="","",IF(COUNTIF($I$2:$I$100,I41)&gt;1,"Check duplicate","")))</f>
        <v/>
      </c>
      <c r="AG41" s="20">
        <f>IF(G41="","",IF(M41="Yes","Duplicate",IF(OR(R41="",R41="Pending"),"Review pending","")))</f>
        <v/>
      </c>
      <c r="AL41" s="18" t="inlineStr">
        <is>
          <t>R96</t>
        </is>
      </c>
      <c r="AO41" s="20" t="n"/>
      <c r="AP41" s="20" t="n"/>
      <c r="AQ41" s="20" t="n"/>
      <c r="AR41" s="20" t="n"/>
      <c r="AS41" s="20" t="n"/>
      <c r="AT41" s="20" t="n"/>
      <c r="AU41" s="20" t="n"/>
      <c r="AV41" s="20" t="n"/>
      <c r="AW41" s="20" t="n"/>
      <c r="AX41" s="20" t="inlineStr">
        <is>
          <t>Background, outside main synthesis</t>
        </is>
      </c>
      <c r="AY41" s="20" t="inlineStr">
        <is>
          <t>Tighter relevance screen of supplied title, context and summary; not a new full-text assessment.</t>
        </is>
      </c>
      <c r="AZ41" s="20" t="inlineStr">
        <is>
          <t>Secondary synthesis or broad review; retain to frame or locate primary studies, outside the direct assessment-study synthesis.</t>
        </is>
      </c>
      <c r="BA41" s="20" t="inlineStr">
        <is>
          <t>Not independently checked against original full text.</t>
        </is>
      </c>
    </row>
    <row r="42" ht="110.1" customHeight="1">
      <c r="A42" s="11" t="inlineStr">
        <is>
          <t>R41</t>
        </is>
      </c>
      <c r="B42" s="11" t="inlineStr">
        <is>
          <t>14/10/2026</t>
        </is>
      </c>
      <c r="C42" s="11" t="inlineStr">
        <is>
          <t>User paper list, item 26</t>
        </is>
      </c>
      <c r="D42" s="23" t="inlineStr">
        <is>
          <t>Evidence of impact and interpretational limits of generative AI in STEM education: a systematic review and meta-analysis on cognitive learning outcomes Original file: Relevant Papers 2022-26(1).docx</t>
        </is>
      </c>
      <c r="E42" s="11" t="n"/>
      <c r="F42" s="11" t="n">
        <v>2026</v>
      </c>
      <c r="G42" s="11" t="inlineStr">
        <is>
          <t>Evidence of impact and interpretational limits of generative AI in STEM education: a systematic review and meta-analysis on cognitive learning outcomes</t>
        </is>
      </c>
      <c r="H42" s="11" t="n"/>
      <c r="I42" s="11" t="inlineStr">
        <is>
          <t>https://doi.org/10.1007/s10462-026-11665-9</t>
        </is>
      </c>
      <c r="J42" s="11" t="inlineStr">
        <is>
          <t>Journal article (source list; verify)</t>
        </is>
      </c>
      <c r="K42" s="11" t="n"/>
      <c r="L42" s="11" t="inlineStr">
        <is>
          <t>Measuring understanding, reasoning and learning outcomes</t>
        </is>
      </c>
      <c r="M42" s="11" t="inlineStr">
        <is>
          <t>No</t>
        </is>
      </c>
      <c r="N42" s="11" t="n"/>
      <c r="O42" s="11" t="inlineStr">
        <is>
          <t>Include</t>
        </is>
      </c>
      <c r="P42" s="11" t="n"/>
      <c r="Q42" s="11" t="n"/>
      <c r="R42" s="13" t="inlineStr">
        <is>
          <t>Background</t>
        </is>
      </c>
      <c r="S42" s="11" t="n"/>
      <c r="T42" s="11" t="n"/>
      <c r="U42" s="11" t="inlineStr">
        <is>
          <t>Source-list summary (not verified against full text): Synthesises evidence on cognitive learning outcomes in STEM education. Helps interpret claims about learning improvements from GenAI.</t>
        </is>
      </c>
      <c r="V42" s="11" t="n"/>
      <c r="W42"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42" s="20">
        <f>IF(G42="","",IF(F42="","",IF(AND(F42&gt;=2022,F42&lt;=2024),"Review 2026 applicability","")))</f>
        <v/>
      </c>
      <c r="AE42" s="20" t="n"/>
      <c r="AF42" s="20">
        <f>IF(G42="","",IF(I42="","",IF(COUNTIF($I$2:$I$100,I42)&gt;1,"Check duplicate","")))</f>
        <v/>
      </c>
      <c r="AG42" s="20">
        <f>IF(G42="","",IF(M42="Yes","Duplicate",IF(OR(R42="",R42="Pending"),"Review pending","")))</f>
        <v/>
      </c>
      <c r="AL42" s="18" t="inlineStr">
        <is>
          <t>R96</t>
        </is>
      </c>
      <c r="AO42" s="20" t="n"/>
      <c r="AP42" s="20" t="n"/>
      <c r="AQ42" s="20" t="n"/>
      <c r="AR42" s="20" t="n"/>
      <c r="AS42" s="20" t="n"/>
      <c r="AT42" s="20" t="n"/>
      <c r="AU42" s="20" t="n"/>
      <c r="AV42" s="20" t="n"/>
      <c r="AW42" s="20" t="n"/>
      <c r="AX42" s="20" t="inlineStr">
        <is>
          <t>Background, outside main synthesis</t>
        </is>
      </c>
      <c r="AY42" s="20" t="inlineStr">
        <is>
          <t>Tighter relevance screen of supplied title, context and summary; not a new full-text assessment.</t>
        </is>
      </c>
      <c r="AZ42" s="20" t="inlineStr">
        <is>
          <t>Secondary synthesis or broad review; retain to frame or locate primary studies, outside the direct assessment-study synthesis.</t>
        </is>
      </c>
      <c r="BA42" s="20" t="inlineStr">
        <is>
          <t>Not independently checked against original full text.</t>
        </is>
      </c>
    </row>
    <row r="43" ht="110.1" customHeight="1">
      <c r="A43" s="11" t="inlineStr">
        <is>
          <t>R42</t>
        </is>
      </c>
      <c r="B43" s="11" t="inlineStr">
        <is>
          <t>14/10/2026</t>
        </is>
      </c>
      <c r="C43" s="11" t="inlineStr">
        <is>
          <t>User paper list, item 27</t>
        </is>
      </c>
      <c r="D43" s="23" t="inlineStr">
        <is>
          <t>Does ChatGPT enhance student learning? A systematic review and meta-analysis of experimental studies Original file: Relevant Papers 2022-26(1).docx</t>
        </is>
      </c>
      <c r="E43" s="11" t="n"/>
      <c r="F43" s="11" t="n">
        <v>2025</v>
      </c>
      <c r="G43" s="11" t="inlineStr">
        <is>
          <t>Does ChatGPT enhance student learning? A systematic review and meta-analysis of experimental studies</t>
        </is>
      </c>
      <c r="H43" s="11" t="n"/>
      <c r="I43" s="11" t="inlineStr">
        <is>
          <t>https://doi.org/10.1016/j.compedu.2024.105224</t>
        </is>
      </c>
      <c r="J43" s="11" t="inlineStr">
        <is>
          <t>Journal article (source list; verify)</t>
        </is>
      </c>
      <c r="K43" s="11" t="n"/>
      <c r="L43" s="11" t="inlineStr">
        <is>
          <t>Measuring understanding, reasoning and learning outcomes</t>
        </is>
      </c>
      <c r="M43" s="11" t="inlineStr">
        <is>
          <t>No</t>
        </is>
      </c>
      <c r="N43" s="11" t="n"/>
      <c r="O43" s="11" t="inlineStr">
        <is>
          <t>Include</t>
        </is>
      </c>
      <c r="P43" s="11" t="n"/>
      <c r="Q43" s="11" t="n"/>
      <c r="R43" s="13" t="inlineStr">
        <is>
          <t>Background</t>
        </is>
      </c>
      <c r="S43" s="11" t="n"/>
      <c r="T43" s="11" t="n"/>
      <c r="U43" s="11" t="inlineStr">
        <is>
          <t>Source-list summary (not verified against full text): Combines results from experimental research on ChatGPT and student learning. Provides useful evidence on outcomes and study limitations.</t>
        </is>
      </c>
      <c r="V43" s="11" t="n"/>
      <c r="W43"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43" s="20">
        <f>IF(G43="","",IF(F43="","",IF(AND(F43&gt;=2022,F43&lt;=2024),"Review 2026 applicability","")))</f>
        <v/>
      </c>
      <c r="AE43" s="20" t="n"/>
      <c r="AF43" s="20">
        <f>IF(G43="","",IF(I43="","",IF(COUNTIF($I$2:$I$100,I43)&gt;1,"Check duplicate","")))</f>
        <v/>
      </c>
      <c r="AG43" s="20">
        <f>IF(G43="","",IF(M43="Yes","Duplicate",IF(OR(R43="",R43="Pending"),"Review pending","")))</f>
        <v/>
      </c>
      <c r="AL43" s="18" t="inlineStr">
        <is>
          <t>R96</t>
        </is>
      </c>
      <c r="AO43" s="20" t="n"/>
      <c r="AP43" s="20" t="n"/>
      <c r="AQ43" s="20" t="n"/>
      <c r="AR43" s="20" t="n"/>
      <c r="AS43" s="20" t="n"/>
      <c r="AT43" s="20" t="n"/>
      <c r="AU43" s="20" t="n"/>
      <c r="AV43" s="20" t="n"/>
      <c r="AW43" s="20" t="n"/>
      <c r="AX43" s="20" t="inlineStr">
        <is>
          <t>Background, outside main synthesis</t>
        </is>
      </c>
      <c r="AY43" s="20" t="inlineStr">
        <is>
          <t>Tighter relevance screen of supplied title, context and summary; not a new full-text assessment.</t>
        </is>
      </c>
      <c r="AZ43" s="20" t="inlineStr">
        <is>
          <t>Secondary synthesis or broad review; retain to frame or locate primary studies, outside the direct assessment-study synthesis.</t>
        </is>
      </c>
      <c r="BA43" s="20" t="inlineStr">
        <is>
          <t>Not independently checked against original full text.</t>
        </is>
      </c>
    </row>
    <row r="44" ht="110.1" customHeight="1">
      <c r="A44" s="11" t="inlineStr">
        <is>
          <t>R43</t>
        </is>
      </c>
      <c r="B44" s="11" t="inlineStr">
        <is>
          <t>14/10/2026</t>
        </is>
      </c>
      <c r="C44" s="11" t="inlineStr">
        <is>
          <t>User paper list, item 28</t>
        </is>
      </c>
      <c r="D44" s="23" t="inlineStr">
        <is>
          <t>Measuring undergraduate students’ reliance on Generative AI during problem-solving: Scale development and validation Original file: Relevant Papers 2022-26(1).docx</t>
        </is>
      </c>
      <c r="E44" s="11" t="n"/>
      <c r="F44" s="11" t="n">
        <v>2025</v>
      </c>
      <c r="G44" s="11" t="inlineStr">
        <is>
          <t>Measuring undergraduate students’ reliance on Generative AI during problem-solving: Scale development and validation</t>
        </is>
      </c>
      <c r="H44" s="11" t="n"/>
      <c r="I44" s="11" t="inlineStr">
        <is>
          <t>https://doi.org/10.1016/j.compedu.2025.105329</t>
        </is>
      </c>
      <c r="J44" s="11" t="inlineStr">
        <is>
          <t>Journal article (source list; verify)</t>
        </is>
      </c>
      <c r="K44" s="11" t="n"/>
      <c r="L44" s="11" t="inlineStr">
        <is>
          <t>Measuring understanding, reasoning and learning outcomes</t>
        </is>
      </c>
      <c r="M44" s="11" t="inlineStr">
        <is>
          <t>No</t>
        </is>
      </c>
      <c r="N44" s="11" t="n"/>
      <c r="O44" s="11" t="inlineStr">
        <is>
          <t>Include</t>
        </is>
      </c>
      <c r="P44" s="11" t="n"/>
      <c r="Q44" s="11" t="n"/>
      <c r="R44" s="13" t="inlineStr">
        <is>
          <t>Background</t>
        </is>
      </c>
      <c r="S44" s="11" t="n"/>
      <c r="T44" s="11" t="n"/>
      <c r="U44" s="11" t="inlineStr">
        <is>
          <t>Source-list summary (not verified against full text): Develops a measure of students’ reliance on GenAI during problem-solving. Relevant to investigating overdependence and independence.</t>
        </is>
      </c>
      <c r="V44" s="11" t="n"/>
      <c r="W44"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44" s="20">
        <f>IF(G44="","",IF(F44="","",IF(AND(F44&gt;=2022,F44&lt;=2024),"Review 2026 applicability","")))</f>
        <v/>
      </c>
      <c r="AE44" s="20" t="n"/>
      <c r="AF44" s="20">
        <f>IF(G44="","",IF(I44="","",IF(COUNTIF($I$2:$I$100,I44)&gt;1,"Check duplicate","")))</f>
        <v/>
      </c>
      <c r="AG44" s="20">
        <f>IF(G44="","",IF(M44="Yes","Duplicate",IF(OR(R44="",R44="Pending"),"Review pending","")))</f>
        <v/>
      </c>
      <c r="AL44" s="18" t="inlineStr">
        <is>
          <t>R96</t>
        </is>
      </c>
      <c r="AO44" s="20" t="n"/>
      <c r="AP44" s="20" t="n"/>
      <c r="AQ44" s="20" t="n"/>
      <c r="AR44" s="20" t="n"/>
      <c r="AS44" s="20" t="n"/>
      <c r="AT44" s="20" t="n"/>
      <c r="AU44" s="20" t="n"/>
      <c r="AV44" s="20" t="n"/>
      <c r="AW44" s="20" t="n"/>
      <c r="AX44" s="20" t="inlineStr">
        <is>
          <t>Background, outside main synthesis</t>
        </is>
      </c>
      <c r="AY44" s="20" t="inlineStr">
        <is>
          <t>Tighter relevance screen of supplied title, context and summary; not a new full-text assessment.</t>
        </is>
      </c>
      <c r="AZ44" s="20" t="inlineStr">
        <is>
          <t>Broad AI, learning, literacy or policy context, or insufficient direct assessment-design evidence in the supplied summary; retain for background only.</t>
        </is>
      </c>
      <c r="BA44" s="20" t="inlineStr">
        <is>
          <t>Not independently checked against original full text.</t>
        </is>
      </c>
    </row>
    <row r="45" ht="110.1" customHeight="1">
      <c r="A45" s="11" t="inlineStr">
        <is>
          <t>R44</t>
        </is>
      </c>
      <c r="B45" s="11" t="inlineStr">
        <is>
          <t>14/10/2026</t>
        </is>
      </c>
      <c r="C45" s="11" t="inlineStr">
        <is>
          <t>User paper list, item 29</t>
        </is>
      </c>
      <c r="D45" s="23" t="inlineStr">
        <is>
          <t>ChatGPT in the Classroom: Evaluating its Role in Fostering Critical Evaluation Skills Original file: Relevant Papers 2022-26(1).docx</t>
        </is>
      </c>
      <c r="E45" s="11" t="n"/>
      <c r="F45" s="11" t="n">
        <v>2025</v>
      </c>
      <c r="G45" s="11" t="inlineStr">
        <is>
          <t>ChatGPT in the Classroom: Evaluating its Role in Fostering Critical Evaluation Skills</t>
        </is>
      </c>
      <c r="H45" s="11" t="n"/>
      <c r="I45" s="11" t="inlineStr">
        <is>
          <t>https://doi.org/10.1007/s40593-024-00452-8</t>
        </is>
      </c>
      <c r="J45" s="11" t="inlineStr">
        <is>
          <t>Journal article (source list; verify)</t>
        </is>
      </c>
      <c r="K45" s="11" t="n"/>
      <c r="L45" s="11" t="inlineStr">
        <is>
          <t>Measuring understanding, reasoning and learning outcomes</t>
        </is>
      </c>
      <c r="M45" s="11" t="inlineStr">
        <is>
          <t>No</t>
        </is>
      </c>
      <c r="N45" s="11" t="n"/>
      <c r="O45" s="11" t="inlineStr">
        <is>
          <t>Include</t>
        </is>
      </c>
      <c r="P45" s="11" t="n"/>
      <c r="Q45" s="11" t="n"/>
      <c r="R45" s="13" t="inlineStr">
        <is>
          <t>Background</t>
        </is>
      </c>
      <c r="S45" s="11" t="n"/>
      <c r="T45" s="11" t="n"/>
      <c r="U45" s="11" t="inlineStr">
        <is>
          <t>Source-list summary (not verified against full text): Examines critical evaluation skills in activities involving ChatGPT. Supports testing students’ ability to challenge and verify AI suggestions.</t>
        </is>
      </c>
      <c r="V45" s="11" t="n"/>
      <c r="W45"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45" s="20">
        <f>IF(G45="","",IF(F45="","",IF(AND(F45&gt;=2022,F45&lt;=2024),"Review 2026 applicability","")))</f>
        <v/>
      </c>
      <c r="AE45" s="20" t="n"/>
      <c r="AF45" s="20">
        <f>IF(G45="","",IF(I45="","",IF(COUNTIF($I$2:$I$100,I45)&gt;1,"Check duplicate","")))</f>
        <v/>
      </c>
      <c r="AG45" s="20">
        <f>IF(G45="","",IF(M45="Yes","Duplicate",IF(OR(R45="",R45="Pending"),"Review pending","")))</f>
        <v/>
      </c>
      <c r="AL45" s="18" t="inlineStr">
        <is>
          <t>R96</t>
        </is>
      </c>
      <c r="AO45" s="20" t="n"/>
      <c r="AP45" s="20" t="n"/>
      <c r="AQ45" s="20" t="n"/>
      <c r="AR45" s="20" t="n"/>
      <c r="AS45" s="20" t="n"/>
      <c r="AT45" s="20" t="n"/>
      <c r="AU45" s="20" t="n"/>
      <c r="AV45" s="20" t="n"/>
      <c r="AW45" s="20" t="n"/>
      <c r="AX45" s="20" t="inlineStr">
        <is>
          <t>Background, outside main synthesis</t>
        </is>
      </c>
      <c r="AY45" s="20" t="inlineStr">
        <is>
          <t>Tighter relevance screen of supplied title, context and summary; not a new full-text assessment.</t>
        </is>
      </c>
      <c r="AZ45" s="20" t="inlineStr">
        <is>
          <t>Broad AI, learning, literacy or policy context, or insufficient direct assessment-design evidence in the supplied summary; retain for background only.</t>
        </is>
      </c>
      <c r="BA45" s="20" t="inlineStr">
        <is>
          <t>Not independently checked against original full text.</t>
        </is>
      </c>
    </row>
    <row r="46" ht="110.1" customHeight="1">
      <c r="A46" s="11" t="inlineStr">
        <is>
          <t>R45</t>
        </is>
      </c>
      <c r="B46" s="11" t="inlineStr">
        <is>
          <t>14/10/2026</t>
        </is>
      </c>
      <c r="C46" s="11" t="inlineStr">
        <is>
          <t>User paper list, item 30</t>
        </is>
      </c>
      <c r="D46" s="23" t="inlineStr">
        <is>
          <t>Making sense of generative AI for assessments: Contrasting student claims and assessor evaluations Original file: Relevant Papers 2022-26(1).docx</t>
        </is>
      </c>
      <c r="E46" s="11" t="n"/>
      <c r="F46" s="11" t="n">
        <v>2024</v>
      </c>
      <c r="G46" s="11" t="inlineStr">
        <is>
          <t>Making sense of generative AI for assessments: Contrasting student claims and assessor evaluations</t>
        </is>
      </c>
      <c r="H46" s="11" t="n"/>
      <c r="I46" s="11" t="inlineStr">
        <is>
          <t>https://doi.org/10.1016/j.ijme.2024.101081</t>
        </is>
      </c>
      <c r="J46" s="11" t="inlineStr">
        <is>
          <t>Journal article (source list; verify)</t>
        </is>
      </c>
      <c r="K46" s="11" t="n"/>
      <c r="L46" s="11" t="inlineStr">
        <is>
          <t>Measuring understanding, reasoning and learning outcomes</t>
        </is>
      </c>
      <c r="M46" s="11" t="inlineStr">
        <is>
          <t>No</t>
        </is>
      </c>
      <c r="N46" s="11" t="n"/>
      <c r="O46" s="11" t="inlineStr">
        <is>
          <t>Include</t>
        </is>
      </c>
      <c r="P46" s="11" t="n"/>
      <c r="Q46" s="11" t="n"/>
      <c r="R46" s="13" t="inlineStr">
        <is>
          <t>Background</t>
        </is>
      </c>
      <c r="S46" s="11" t="n"/>
      <c r="T46" s="11" t="n"/>
      <c r="U46" s="11" t="inlineStr">
        <is>
          <t>Source-list summary (not verified against full text): Compares students’ views of AI-supported assessment with assessor judgements. Helps identify gaps between reported use and assessed competence.</t>
        </is>
      </c>
      <c r="V46" s="11" t="n"/>
      <c r="W46"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46" s="20">
        <f>IF(G46="","",IF(F46="","",IF(AND(F46&gt;=2022,F46&lt;=2024),"Review 2026 applicability","")))</f>
        <v/>
      </c>
      <c r="AE46" s="20" t="n"/>
      <c r="AF46" s="20">
        <f>IF(G46="","",IF(I46="","",IF(COUNTIF($I$2:$I$100,I46)&gt;1,"Check duplicate","")))</f>
        <v/>
      </c>
      <c r="AG46" s="20">
        <f>IF(G46="","",IF(M46="Yes","Duplicate",IF(OR(R46="",R46="Pending"),"Review pending","")))</f>
        <v/>
      </c>
      <c r="AL46" s="18" t="inlineStr">
        <is>
          <t>R96</t>
        </is>
      </c>
      <c r="AO46" s="20" t="n"/>
      <c r="AP46" s="20" t="n"/>
      <c r="AQ46" s="20" t="n"/>
      <c r="AR46" s="20" t="n"/>
      <c r="AS46" s="20" t="n"/>
      <c r="AT46" s="20" t="n"/>
      <c r="AU46" s="20" t="n"/>
      <c r="AV46" s="20" t="n"/>
      <c r="AW46" s="20" t="n"/>
      <c r="AX46" s="20" t="inlineStr">
        <is>
          <t>Background, outside main synthesis</t>
        </is>
      </c>
      <c r="AY46" s="20" t="inlineStr">
        <is>
          <t>Tighter relevance screen of supplied title, context and summary; not a new full-text assessment.</t>
        </is>
      </c>
      <c r="AZ46" s="20" t="inlineStr">
        <is>
          <t>Broad AI, learning, literacy or policy context, or insufficient direct assessment-design evidence in the supplied summary; retain for background only.</t>
        </is>
      </c>
      <c r="BA46" s="20" t="inlineStr">
        <is>
          <t>Not independently checked against original full text.</t>
        </is>
      </c>
    </row>
    <row r="47" ht="110.1" customHeight="1">
      <c r="A47" s="11" t="inlineStr">
        <is>
          <t>R46</t>
        </is>
      </c>
      <c r="B47" s="11" t="inlineStr">
        <is>
          <t>14/10/2026</t>
        </is>
      </c>
      <c r="C47" s="11" t="inlineStr">
        <is>
          <t>User paper list, item 31</t>
        </is>
      </c>
      <c r="D47" s="23" t="inlineStr">
        <is>
          <t>Can students judge like experts? A large-scale study on the pedagogical quality of AI and human personalized formative feedback Original file: Relevant Papers 2022-26(1).docx</t>
        </is>
      </c>
      <c r="E47" s="11" t="n"/>
      <c r="F47" s="11" t="n">
        <v>2026</v>
      </c>
      <c r="G47" s="11" t="inlineStr">
        <is>
          <t>Can students judge like experts? A large-scale study on the pedagogical quality of AI and human personalized formative feedback</t>
        </is>
      </c>
      <c r="H47" s="11" t="n"/>
      <c r="I47" s="11" t="inlineStr">
        <is>
          <t>https://doi.org/10.1016/j.caeai.2025.100533</t>
        </is>
      </c>
      <c r="J47" s="11" t="inlineStr">
        <is>
          <t>Journal article (source list; verify)</t>
        </is>
      </c>
      <c r="K47" s="11" t="n"/>
      <c r="L47" s="11" t="inlineStr">
        <is>
          <t>Measuring understanding, reasoning and learning outcomes</t>
        </is>
      </c>
      <c r="M47" s="11" t="inlineStr">
        <is>
          <t>No</t>
        </is>
      </c>
      <c r="N47" s="11" t="n"/>
      <c r="O47" s="11" t="inlineStr">
        <is>
          <t>Include</t>
        </is>
      </c>
      <c r="P47" s="11" t="n"/>
      <c r="Q47" s="11" t="n"/>
      <c r="R47" s="13" t="inlineStr">
        <is>
          <t>Background</t>
        </is>
      </c>
      <c r="S47" s="11" t="n"/>
      <c r="T47" s="11" t="n"/>
      <c r="U47" s="11" t="inlineStr">
        <is>
          <t>Source-list summary (not verified against full text): Investigates judgements of feedback quality across AI and human sources. Relevant to assessing evaluative judgement and feedback literacy.</t>
        </is>
      </c>
      <c r="V47" s="11" t="n"/>
      <c r="W47"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47" s="20">
        <f>IF(G47="","",IF(F47="","",IF(AND(F47&gt;=2022,F47&lt;=2024),"Review 2026 applicability","")))</f>
        <v/>
      </c>
      <c r="AE47" s="20" t="n"/>
      <c r="AF47" s="20">
        <f>IF(G47="","",IF(I47="","",IF(COUNTIF($I$2:$I$100,I47)&gt;1,"Check duplicate","")))</f>
        <v/>
      </c>
      <c r="AG47" s="20">
        <f>IF(G47="","",IF(M47="Yes","Duplicate",IF(OR(R47="",R47="Pending"),"Review pending","")))</f>
        <v/>
      </c>
      <c r="AL47" s="18" t="inlineStr">
        <is>
          <t>R96</t>
        </is>
      </c>
      <c r="AO47" s="20" t="n"/>
      <c r="AP47" s="20" t="n"/>
      <c r="AQ47" s="20" t="n"/>
      <c r="AR47" s="20" t="n"/>
      <c r="AS47" s="20" t="n"/>
      <c r="AT47" s="20" t="n"/>
      <c r="AU47" s="20" t="n"/>
      <c r="AV47" s="20" t="n"/>
      <c r="AW47" s="20" t="n"/>
      <c r="AX47" s="20" t="inlineStr">
        <is>
          <t>Background, outside main synthesis</t>
        </is>
      </c>
      <c r="AY47" s="20" t="inlineStr">
        <is>
          <t>Tighter relevance screen of supplied title, context and summary; not a new full-text assessment.</t>
        </is>
      </c>
      <c r="AZ47" s="20" t="inlineStr">
        <is>
          <t>Broad AI, learning, literacy or policy context, or insufficient direct assessment-design evidence in the supplied summary; retain for background only.</t>
        </is>
      </c>
      <c r="BA47" s="20" t="inlineStr">
        <is>
          <t>Not independently checked against original full text.</t>
        </is>
      </c>
    </row>
    <row r="48" ht="110.1" customHeight="1">
      <c r="A48" s="11" t="inlineStr">
        <is>
          <t>R47</t>
        </is>
      </c>
      <c r="B48" s="11" t="inlineStr">
        <is>
          <t>14/10/2026</t>
        </is>
      </c>
      <c r="C48" s="11" t="inlineStr">
        <is>
          <t>User paper list, item 32</t>
        </is>
      </c>
      <c r="D48" s="23" t="inlineStr">
        <is>
          <t>Using Generative AI to Promote Psychological, Feedback, and Artificial Intelligence Literacies in Undergraduate Psychology Original file: Relevant Papers 2022-26(1).docx</t>
        </is>
      </c>
      <c r="E48" s="11" t="n"/>
      <c r="F48" s="11" t="n">
        <v>2024</v>
      </c>
      <c r="G48" s="11" t="inlineStr">
        <is>
          <t>Using Generative AI to Promote Psychological, Feedback, and Artificial Intelligence Literacies in Undergraduate Psychology</t>
        </is>
      </c>
      <c r="H48" s="11" t="n"/>
      <c r="I48" s="11" t="inlineStr">
        <is>
          <t>https://doi.org/10.1177/00986283241287203</t>
        </is>
      </c>
      <c r="J48" s="11" t="inlineStr">
        <is>
          <t>Journal article (source list; verify)</t>
        </is>
      </c>
      <c r="K48" s="11" t="n"/>
      <c r="L48" s="11" t="inlineStr">
        <is>
          <t>Measuring understanding, reasoning and learning outcomes</t>
        </is>
      </c>
      <c r="M48" s="11" t="inlineStr">
        <is>
          <t>No</t>
        </is>
      </c>
      <c r="N48" s="11" t="n"/>
      <c r="O48" s="11" t="inlineStr">
        <is>
          <t>Include</t>
        </is>
      </c>
      <c r="P48" s="11" t="n"/>
      <c r="Q48" s="11" t="n"/>
      <c r="R48" s="13" t="inlineStr">
        <is>
          <t>Background</t>
        </is>
      </c>
      <c r="S48" s="11" t="n"/>
      <c r="T48" s="11" t="n"/>
      <c r="U48" s="11" t="inlineStr">
        <is>
          <t>Source-list summary (not verified against full text): Explores using GenAI to develop disciplinary and feedback literacy. Offers a cross-disciplinary model for guided AI learning.</t>
        </is>
      </c>
      <c r="V48" s="11" t="n"/>
      <c r="W48"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Other-discipline educational evidence; potentially transferable background, outside the Computing/IT assessment sample.</t>
        </is>
      </c>
      <c r="AD48" s="20">
        <f>IF(G48="","",IF(F48="","",IF(AND(F48&gt;=2022,F48&lt;=2024),"Review 2026 applicability","")))</f>
        <v/>
      </c>
      <c r="AE48" s="20" t="n"/>
      <c r="AF48" s="20">
        <f>IF(G48="","",IF(I48="","",IF(COUNTIF($I$2:$I$100,I48)&gt;1,"Check duplicate","")))</f>
        <v/>
      </c>
      <c r="AG48" s="20">
        <f>IF(G48="","",IF(M48="Yes","Duplicate",IF(OR(R48="",R48="Pending"),"Review pending","")))</f>
        <v/>
      </c>
      <c r="AL48" s="18" t="inlineStr">
        <is>
          <t>R96</t>
        </is>
      </c>
      <c r="AO48" s="20" t="n"/>
      <c r="AP48" s="20" t="n"/>
      <c r="AQ48" s="20" t="n"/>
      <c r="AR48" s="20" t="n"/>
      <c r="AS48" s="20" t="n"/>
      <c r="AT48" s="20" t="n"/>
      <c r="AU48" s="20" t="n"/>
      <c r="AV48" s="20" t="n"/>
      <c r="AW48" s="20" t="n"/>
      <c r="AX48" s="20" t="inlineStr">
        <is>
          <t>Background, outside main synthesis</t>
        </is>
      </c>
      <c r="AY48" s="20" t="inlineStr">
        <is>
          <t>Tighter relevance screen of supplied title, context and summary; not a new full-text assessment.</t>
        </is>
      </c>
      <c r="AZ48" s="20" t="inlineStr">
        <is>
          <t>Other-discipline educational evidence; potentially transferable background, outside the Computing/IT assessment sample.</t>
        </is>
      </c>
      <c r="BA48" s="20" t="inlineStr">
        <is>
          <t>Not independently checked against original full text.</t>
        </is>
      </c>
    </row>
    <row r="49" ht="110.1" customHeight="1">
      <c r="A49" s="11" t="inlineStr">
        <is>
          <t>R48</t>
        </is>
      </c>
      <c r="B49" s="11" t="inlineStr">
        <is>
          <t>14/10/2026</t>
        </is>
      </c>
      <c r="C49" s="11" t="inlineStr">
        <is>
          <t>User paper list, item 33</t>
        </is>
      </c>
      <c r="D49" s="23" t="inlineStr">
        <is>
          <t>GLAT: The generative AI literacy assessment test Original file: Relevant Papers 2022-26(1).docx</t>
        </is>
      </c>
      <c r="E49" s="11" t="n"/>
      <c r="F49" s="11" t="n">
        <v>2025</v>
      </c>
      <c r="G49" s="11" t="inlineStr">
        <is>
          <t>GLAT: The generative AI literacy assessment test</t>
        </is>
      </c>
      <c r="H49" s="11" t="n"/>
      <c r="I49" s="11" t="inlineStr">
        <is>
          <t>https://doi.org/10.1016/j.caeai.2025.100436</t>
        </is>
      </c>
      <c r="J49" s="11" t="inlineStr">
        <is>
          <t>Journal article (source list; verify)</t>
        </is>
      </c>
      <c r="K49" s="11" t="n"/>
      <c r="L49" s="11" t="inlineStr">
        <is>
          <t>Measuring understanding, reasoning and learning outcomes</t>
        </is>
      </c>
      <c r="M49" s="11" t="inlineStr">
        <is>
          <t>No</t>
        </is>
      </c>
      <c r="N49" s="11" t="n"/>
      <c r="O49" s="11" t="inlineStr">
        <is>
          <t>Include</t>
        </is>
      </c>
      <c r="P49" s="11" t="n"/>
      <c r="Q49" s="11" t="n"/>
      <c r="R49" s="13" t="inlineStr">
        <is>
          <t>Background</t>
        </is>
      </c>
      <c r="S49" s="11" t="n"/>
      <c r="T49" s="11" t="n"/>
      <c r="U49" s="11" t="inlineStr">
        <is>
          <t>Source-list summary (not verified against full text): Introduces an assessment of generative AI literacy. Relevant to measuring AI capability beyond prompt completion.</t>
        </is>
      </c>
      <c r="V49" s="11" t="n"/>
      <c r="W49"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49" s="20">
        <f>IF(G49="","",IF(F49="","",IF(AND(F49&gt;=2022,F49&lt;=2024),"Review 2026 applicability","")))</f>
        <v/>
      </c>
      <c r="AE49" s="20" t="n"/>
      <c r="AF49" s="20">
        <f>IF(G49="","",IF(I49="","",IF(COUNTIF($I$2:$I$100,I49)&gt;1,"Check duplicate","")))</f>
        <v/>
      </c>
      <c r="AG49" s="20">
        <f>IF(G49="","",IF(M49="Yes","Duplicate",IF(OR(R49="",R49="Pending"),"Review pending","")))</f>
        <v/>
      </c>
      <c r="AL49" s="18" t="inlineStr">
        <is>
          <t>R96</t>
        </is>
      </c>
      <c r="AO49" s="20" t="n"/>
      <c r="AP49" s="20" t="n"/>
      <c r="AQ49" s="20" t="n"/>
      <c r="AR49" s="20" t="n"/>
      <c r="AS49" s="20" t="n"/>
      <c r="AT49" s="20" t="n"/>
      <c r="AU49" s="20" t="n"/>
      <c r="AV49" s="20" t="n"/>
      <c r="AW49" s="20" t="n"/>
      <c r="AX49" s="20" t="inlineStr">
        <is>
          <t>Background, outside main synthesis</t>
        </is>
      </c>
      <c r="AY49" s="20" t="inlineStr">
        <is>
          <t>Tighter relevance screen of supplied title, context and summary; not a new full-text assessment.</t>
        </is>
      </c>
      <c r="AZ49" s="20" t="inlineStr">
        <is>
          <t>Broad AI, learning, literacy or policy context, or insufficient direct assessment-design evidence in the supplied summary; retain for background only.</t>
        </is>
      </c>
      <c r="BA49" s="20" t="inlineStr">
        <is>
          <t>Not independently checked against original full text.</t>
        </is>
      </c>
    </row>
    <row r="50" ht="110.1" customHeight="1">
      <c r="A50" s="11" t="inlineStr">
        <is>
          <t>R49</t>
        </is>
      </c>
      <c r="B50" s="11" t="inlineStr">
        <is>
          <t>14/10/2026</t>
        </is>
      </c>
      <c r="C50" s="11" t="inlineStr">
        <is>
          <t>User paper list, item 34</t>
        </is>
      </c>
      <c r="D50" s="23" t="inlineStr">
        <is>
          <t>Perceived impact of generative AI on assessments: Comparing educator and student perspectives in Australia, Cyprus, and the United States Original file: Relevant Papers 2022-26(1).docx</t>
        </is>
      </c>
      <c r="E50" s="11" t="n"/>
      <c r="F50" s="11" t="n">
        <v>2024</v>
      </c>
      <c r="G50" s="11" t="inlineStr">
        <is>
          <t>Perceived impact of generative AI on assessments: Comparing educator and student perspectives in Australia, Cyprus, and the United States</t>
        </is>
      </c>
      <c r="H50" s="11" t="n"/>
      <c r="I50" s="11" t="inlineStr">
        <is>
          <t>https://doi.org/10.1016/j.caeai.2024.100269</t>
        </is>
      </c>
      <c r="J50" s="11" t="inlineStr">
        <is>
          <t>Journal article (source list; verify)</t>
        </is>
      </c>
      <c r="K50" s="11" t="n"/>
      <c r="L50" s="11" t="inlineStr">
        <is>
          <t>Academic integrity, student behaviour and assessment challenges</t>
        </is>
      </c>
      <c r="M50" s="11" t="inlineStr">
        <is>
          <t>No</t>
        </is>
      </c>
      <c r="N50" s="11" t="n"/>
      <c r="O50" s="11" t="inlineStr">
        <is>
          <t>Include</t>
        </is>
      </c>
      <c r="P50" s="11" t="n"/>
      <c r="Q50" s="11" t="n"/>
      <c r="R50" s="13" t="inlineStr">
        <is>
          <t>Background</t>
        </is>
      </c>
      <c r="S50" s="11" t="n"/>
      <c r="T50" s="11" t="n"/>
      <c r="U50" s="11" t="inlineStr">
        <is>
          <t>Source-list summary (not verified against full text): Compares perceptions of GenAI assessment across students and educators. Helps ground redesign recommendations in stakeholder concerns.</t>
        </is>
      </c>
      <c r="V50" s="11" t="n"/>
      <c r="W50"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50" s="20">
        <f>IF(G50="","",IF(F50="","",IF(AND(F50&gt;=2022,F50&lt;=2024),"Review 2026 applicability","")))</f>
        <v/>
      </c>
      <c r="AE50" s="20" t="n"/>
      <c r="AF50" s="20">
        <f>IF(G50="","",IF(I50="","",IF(COUNTIF($I$2:$I$100,I50)&gt;1,"Check duplicate","")))</f>
        <v/>
      </c>
      <c r="AG50" s="20">
        <f>IF(G50="","",IF(M50="Yes","Duplicate",IF(OR(R50="",R50="Pending"),"Review pending","")))</f>
        <v/>
      </c>
      <c r="AL50" s="18" t="inlineStr">
        <is>
          <t>R96</t>
        </is>
      </c>
      <c r="AO50" s="20" t="n"/>
      <c r="AP50" s="20" t="n"/>
      <c r="AQ50" s="20" t="n"/>
      <c r="AR50" s="20" t="n"/>
      <c r="AS50" s="20" t="n"/>
      <c r="AT50" s="20" t="n"/>
      <c r="AU50" s="20" t="n"/>
      <c r="AV50" s="20" t="n"/>
      <c r="AW50" s="20" t="n"/>
      <c r="AX50" s="20" t="inlineStr">
        <is>
          <t>Background, outside main synthesis</t>
        </is>
      </c>
      <c r="AY50" s="20" t="inlineStr">
        <is>
          <t>Tighter relevance screen of supplied title, context and summary; not a new full-text assessment.</t>
        </is>
      </c>
      <c r="AZ50" s="20" t="inlineStr">
        <is>
          <t>Broad AI, learning, literacy or policy context, or insufficient direct assessment-design evidence in the supplied summary; retain for background only.</t>
        </is>
      </c>
      <c r="BA50" s="20" t="inlineStr">
        <is>
          <t>Not independently checked against original full text.</t>
        </is>
      </c>
    </row>
    <row r="51" ht="110.1" customHeight="1">
      <c r="A51" s="11" t="inlineStr">
        <is>
          <t>R50</t>
        </is>
      </c>
      <c r="B51" s="11" t="inlineStr">
        <is>
          <t>14/10/2026</t>
        </is>
      </c>
      <c r="C51" s="11" t="inlineStr">
        <is>
          <t>User paper list, item 35</t>
        </is>
      </c>
      <c r="D51" s="23" t="inlineStr">
        <is>
          <t>How should we change teaching and assessment in response to increasingly powerful generative Artificial Intelligence? Outcomes of the ChatGPT teacher survey Original file: Relevant Papers 2022-26(1).docx</t>
        </is>
      </c>
      <c r="E51" s="11" t="n"/>
      <c r="F51" s="11" t="n">
        <v>2024</v>
      </c>
      <c r="G51" s="11" t="inlineStr">
        <is>
          <t>How should we change teaching and assessment in response to increasingly powerful generative Artificial Intelligence? Outcomes of the ChatGPT teacher survey</t>
        </is>
      </c>
      <c r="H51" s="11" t="n"/>
      <c r="I51" s="11" t="inlineStr">
        <is>
          <t>https://doi.org/10.1007/s10639-023-12405-0</t>
        </is>
      </c>
      <c r="J51" s="11" t="inlineStr">
        <is>
          <t>Journal article (source list; verify)</t>
        </is>
      </c>
      <c r="K51" s="11" t="n"/>
      <c r="L51" s="11" t="inlineStr">
        <is>
          <t>Academic integrity, student behaviour and assessment challenges</t>
        </is>
      </c>
      <c r="M51" s="11" t="inlineStr">
        <is>
          <t>No</t>
        </is>
      </c>
      <c r="N51" s="11" t="n"/>
      <c r="O51" s="11" t="inlineStr">
        <is>
          <t>Include</t>
        </is>
      </c>
      <c r="P51" s="11" t="n"/>
      <c r="Q51" s="11" t="n"/>
      <c r="R51" s="13" t="inlineStr">
        <is>
          <t>Background</t>
        </is>
      </c>
      <c r="S51" s="11" t="n"/>
      <c r="T51" s="11" t="n"/>
      <c r="U51" s="11" t="inlineStr">
        <is>
          <t>Source-list summary (not verified against full text): Reports educator perspectives on adapting teaching and assessment to GenAI. Useful for designing practical and acceptable reform options.</t>
        </is>
      </c>
      <c r="V51" s="11" t="n"/>
      <c r="W51"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51" s="20">
        <f>IF(G51="","",IF(F51="","",IF(AND(F51&gt;=2022,F51&lt;=2024),"Review 2026 applicability","")))</f>
        <v/>
      </c>
      <c r="AE51" s="20" t="n"/>
      <c r="AF51" s="20">
        <f>IF(G51="","",IF(I51="","",IF(COUNTIF($I$2:$I$100,I51)&gt;1,"Check duplicate","")))</f>
        <v/>
      </c>
      <c r="AG51" s="20">
        <f>IF(G51="","",IF(M51="Yes","Duplicate",IF(OR(R51="",R51="Pending"),"Review pending","")))</f>
        <v/>
      </c>
      <c r="AL51" s="18" t="inlineStr">
        <is>
          <t>R96</t>
        </is>
      </c>
      <c r="AO51" s="20" t="n"/>
      <c r="AP51" s="20" t="n"/>
      <c r="AQ51" s="20" t="n"/>
      <c r="AR51" s="20" t="n"/>
      <c r="AS51" s="20" t="n"/>
      <c r="AT51" s="20" t="n"/>
      <c r="AU51" s="20" t="n"/>
      <c r="AV51" s="20" t="n"/>
      <c r="AW51" s="20" t="n"/>
      <c r="AX51" s="20" t="inlineStr">
        <is>
          <t>Background, outside main synthesis</t>
        </is>
      </c>
      <c r="AY51" s="20" t="inlineStr">
        <is>
          <t>Tighter relevance screen of supplied title, context and summary; not a new full-text assessment.</t>
        </is>
      </c>
      <c r="AZ51" s="20" t="inlineStr">
        <is>
          <t>Broad AI, learning, literacy or policy context, or insufficient direct assessment-design evidence in the supplied summary; retain for background only.</t>
        </is>
      </c>
      <c r="BA51" s="20" t="inlineStr">
        <is>
          <t>Not independently checked against original full text.</t>
        </is>
      </c>
    </row>
    <row r="52" ht="110.1" customHeight="1">
      <c r="A52" s="11" t="inlineStr">
        <is>
          <t>R51</t>
        </is>
      </c>
      <c r="B52" s="11" t="inlineStr">
        <is>
          <t>14/10/2026</t>
        </is>
      </c>
      <c r="C52" s="11" t="inlineStr">
        <is>
          <t>User paper list, item 36</t>
        </is>
      </c>
      <c r="D52" s="23" t="inlineStr">
        <is>
          <t>Generative AI tools and assessment: Guidelines of the world’s top-ranking universities Original file: Relevant Papers 2022-26(1).docx</t>
        </is>
      </c>
      <c r="E52" s="11" t="n"/>
      <c r="F52" s="11" t="n">
        <v>2023</v>
      </c>
      <c r="G52" s="11" t="inlineStr">
        <is>
          <t>Generative AI tools and assessment: Guidelines of the world’s top-ranking universities</t>
        </is>
      </c>
      <c r="H52" s="11" t="n"/>
      <c r="I52" s="11" t="inlineStr">
        <is>
          <t>https://doi.org/10.1016/j.caeo.2023.100151</t>
        </is>
      </c>
      <c r="J52" s="11" t="inlineStr">
        <is>
          <t>Journal article (source list; verify)</t>
        </is>
      </c>
      <c r="K52" s="11" t="n"/>
      <c r="L52" s="11" t="inlineStr">
        <is>
          <t>Academic integrity, student behaviour and assessment challenges</t>
        </is>
      </c>
      <c r="M52" s="11" t="inlineStr">
        <is>
          <t>No</t>
        </is>
      </c>
      <c r="N52" s="11" t="n"/>
      <c r="O52" s="11" t="inlineStr">
        <is>
          <t>Include</t>
        </is>
      </c>
      <c r="P52" s="11" t="n"/>
      <c r="Q52" s="11" t="n"/>
      <c r="R52" s="13" t="inlineStr">
        <is>
          <t>Background</t>
        </is>
      </c>
      <c r="S52" s="11" t="n"/>
      <c r="T52" s="11" t="n"/>
      <c r="U52" s="11" t="inlineStr">
        <is>
          <t>Source-list summary (not verified against full text): Analyses university approaches to GenAI in assessment policies. Helps compare institutional restrictions and permissions.</t>
        </is>
      </c>
      <c r="V52" s="11" t="n"/>
      <c r="W52"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52" s="20">
        <f>IF(G52="","",IF(F52="","",IF(AND(F52&gt;=2022,F52&lt;=2024),"Review 2026 applicability","")))</f>
        <v/>
      </c>
      <c r="AE52" s="20" t="n"/>
      <c r="AF52" s="20">
        <f>IF(G52="","",IF(I52="","",IF(COUNTIF($I$2:$I$100,I52)&gt;1,"Check duplicate","")))</f>
        <v/>
      </c>
      <c r="AG52" s="20">
        <f>IF(G52="","",IF(M52="Yes","Duplicate",IF(OR(R52="",R52="Pending"),"Review pending","")))</f>
        <v/>
      </c>
      <c r="AL52" s="18" t="inlineStr">
        <is>
          <t>R96</t>
        </is>
      </c>
      <c r="AO52" s="20" t="n"/>
      <c r="AP52" s="20" t="n"/>
      <c r="AQ52" s="20" t="n"/>
      <c r="AR52" s="20" t="n"/>
      <c r="AS52" s="20" t="n"/>
      <c r="AT52" s="20" t="n"/>
      <c r="AU52" s="20" t="n"/>
      <c r="AV52" s="20" t="n"/>
      <c r="AW52" s="20" t="n"/>
      <c r="AX52" s="20" t="inlineStr">
        <is>
          <t>Background, outside main synthesis</t>
        </is>
      </c>
      <c r="AY52" s="20" t="inlineStr">
        <is>
          <t>Tighter relevance screen of supplied title, context and summary; not a new full-text assessment.</t>
        </is>
      </c>
      <c r="AZ52" s="20" t="inlineStr">
        <is>
          <t>Broad AI, learning, literacy or policy context, or insufficient direct assessment-design evidence in the supplied summary; retain for background only.</t>
        </is>
      </c>
      <c r="BA52" s="20" t="inlineStr">
        <is>
          <t>Not independently checked against original full text.</t>
        </is>
      </c>
    </row>
    <row r="53" ht="110.1" customHeight="1">
      <c r="A53" s="11" t="inlineStr">
        <is>
          <t>R52</t>
        </is>
      </c>
      <c r="B53" s="11" t="inlineStr">
        <is>
          <t>14/10/2026</t>
        </is>
      </c>
      <c r="C53" s="11" t="inlineStr">
        <is>
          <t>User paper list, item 37</t>
        </is>
      </c>
      <c r="D53" s="23" t="inlineStr">
        <is>
          <t>The impact of generative AI on academic integrity of authentic assessments within a higher education context Original file: Relevant Papers 2022-26(1).docx</t>
        </is>
      </c>
      <c r="E53" s="11" t="n"/>
      <c r="F53" s="11" t="n">
        <v>2025</v>
      </c>
      <c r="G53" s="11" t="inlineStr">
        <is>
          <t>The impact of generative AI on academic integrity of authentic assessments within a higher education context</t>
        </is>
      </c>
      <c r="H53" s="11" t="n"/>
      <c r="I53" s="11" t="inlineStr">
        <is>
          <t>https://doi.org/10.1111/bjet.13585</t>
        </is>
      </c>
      <c r="J53" s="11" t="inlineStr">
        <is>
          <t>Journal article (source list; verify)</t>
        </is>
      </c>
      <c r="K53" s="11" t="n"/>
      <c r="L53" s="11" t="inlineStr">
        <is>
          <t>Academic integrity, student behaviour and assessment challenges</t>
        </is>
      </c>
      <c r="M53" s="11" t="inlineStr">
        <is>
          <t>No</t>
        </is>
      </c>
      <c r="N53" s="11" t="n"/>
      <c r="O53" s="11" t="inlineStr">
        <is>
          <t>Include</t>
        </is>
      </c>
      <c r="P53" s="11" t="n"/>
      <c r="Q53" s="11" t="n"/>
      <c r="R53" s="13" t="inlineStr">
        <is>
          <t>Background</t>
        </is>
      </c>
      <c r="S53" s="11" t="n"/>
      <c r="T53" s="11" t="n"/>
      <c r="U53" s="11" t="inlineStr">
        <is>
          <t>Source-list summary (not verified against full text): Examines how GenAI complicates integrity in authentic assessments. Highlights why authenticity requires more than changing the task context.</t>
        </is>
      </c>
      <c r="V53" s="11" t="n"/>
      <c r="W53" s="11" t="inlineStr">
        <is>
          <t>Imported from supplied paper list. Verify author(s), journal, year and DOI; retrieve full text, screen and extract supporting pages. No full-text review completed.
16/10/2026 relevance decision: Include. Addresses assessment design, verification of understanding, assessment validity or integrity in AI-rich education.
Revised strict-scope decision: Background only. Broad AI, learning, literacy or policy context, or insufficient direct assessment-design evidence in the supplied summary; retain for background only.</t>
        </is>
      </c>
      <c r="AD53" s="20">
        <f>IF(G53="","",IF(F53="","",IF(AND(F53&gt;=2022,F53&lt;=2024),"Review 2026 applicability","")))</f>
        <v/>
      </c>
      <c r="AE53" s="20" t="n"/>
      <c r="AF53" s="20">
        <f>IF(G53="","",IF(I53="","",IF(COUNTIF($I$2:$I$100,I53)&gt;1,"Check duplicate","")))</f>
        <v/>
      </c>
      <c r="AG53" s="20">
        <f>IF(G53="","",IF(M53="Yes","Duplicate",IF(OR(R53="",R53="Pending"),"Review pending","")))</f>
        <v/>
      </c>
      <c r="AL53" s="18" t="inlineStr">
        <is>
          <t>R96</t>
        </is>
      </c>
      <c r="AO53" s="20" t="n"/>
      <c r="AP53" s="20" t="n"/>
      <c r="AQ53" s="20" t="n"/>
      <c r="AR53" s="20" t="n"/>
      <c r="AS53" s="20" t="n"/>
      <c r="AT53" s="20" t="n"/>
      <c r="AU53" s="20" t="n"/>
      <c r="AV53" s="20" t="n"/>
      <c r="AW53" s="20" t="n"/>
      <c r="AX53" s="20" t="inlineStr">
        <is>
          <t>Background, outside main synthesis</t>
        </is>
      </c>
      <c r="AY53" s="20" t="inlineStr">
        <is>
          <t>Tighter relevance screen of supplied title, context and summary; not a new full-text assessment.</t>
        </is>
      </c>
      <c r="AZ53" s="20" t="inlineStr">
        <is>
          <t>Broad AI, learning, literacy or policy context, or insufficient direct assessment-design evidence in the supplied summary; retain for background only.</t>
        </is>
      </c>
      <c r="BA53" s="20" t="inlineStr">
        <is>
          <t>Not independently checked against original full text.</t>
        </is>
      </c>
    </row>
    <row r="54" ht="110.1" customHeight="1">
      <c r="A54" s="11" t="inlineStr">
        <is>
          <t>R53</t>
        </is>
      </c>
      <c r="B54" s="11" t="inlineStr">
        <is>
          <t>14/10/2026</t>
        </is>
      </c>
      <c r="C54" s="11" t="inlineStr">
        <is>
          <t>User paper list, item 38</t>
        </is>
      </c>
      <c r="D54" s="23" t="inlineStr">
        <is>
          <t>Comparison of generative AI performance on undergraduate and postgraduate written assessments in the biomedical sciences Original file: Relevant Papers 2022-26(1).docx</t>
        </is>
      </c>
      <c r="E54" s="11" t="n"/>
      <c r="F54" s="11" t="n">
        <v>2024</v>
      </c>
      <c r="G54" s="11" t="inlineStr">
        <is>
          <t>Comparison of generative AI performance on undergraduate and postgraduate written assessments in the biomedical sciences</t>
        </is>
      </c>
      <c r="H54" s="11" t="n"/>
      <c r="I54" s="11" t="inlineStr">
        <is>
          <t>https://doi.org/10.1186/s41239-024-00485-y</t>
        </is>
      </c>
      <c r="J54" s="11" t="inlineStr">
        <is>
          <t>Journal article (source list; verify)</t>
        </is>
      </c>
      <c r="K54" s="11" t="n"/>
      <c r="L54" s="11" t="inlineStr">
        <is>
          <t>Academic integrity, student behaviour and assessment challenges</t>
        </is>
      </c>
      <c r="M54" s="11" t="inlineStr">
        <is>
          <t>No</t>
        </is>
      </c>
      <c r="N54" s="11" t="n"/>
      <c r="O54" s="11" t="inlineStr">
        <is>
          <t>Include</t>
        </is>
      </c>
      <c r="P54" s="11" t="n"/>
      <c r="Q54" s="11" t="n"/>
      <c r="R54" s="13" t="inlineStr">
        <is>
          <t>Background</t>
        </is>
      </c>
      <c r="S54" s="11" t="n"/>
      <c r="T54" s="11" t="n"/>
      <c r="U54" s="11" t="inlineStr">
        <is>
          <t>Source-list summary (not verified against full text): Tests GenAI performance on higher education written assessments. Demonstrates why finished responses may not prove student understanding.</t>
        </is>
      </c>
      <c r="V54" s="11" t="n"/>
      <c r="W54"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Other-discipline educational evidence; potentially transferable background, outside the Computing/IT assessment sample.</t>
        </is>
      </c>
      <c r="AD54" s="20">
        <f>IF(G54="","",IF(F54="","",IF(AND(F54&gt;=2022,F54&lt;=2024),"Review 2026 applicability","")))</f>
        <v/>
      </c>
      <c r="AE54" s="20" t="n"/>
      <c r="AF54" s="20">
        <f>IF(G54="","",IF(I54="","",IF(COUNTIF($I$2:$I$100,I54)&gt;1,"Check duplicate","")))</f>
        <v/>
      </c>
      <c r="AG54" s="20">
        <f>IF(G54="","",IF(M54="Yes","Duplicate",IF(OR(R54="",R54="Pending"),"Review pending","")))</f>
        <v/>
      </c>
      <c r="AL54" s="18" t="inlineStr">
        <is>
          <t>R96</t>
        </is>
      </c>
      <c r="AO54" s="20" t="n"/>
      <c r="AP54" s="20" t="n"/>
      <c r="AQ54" s="20" t="n"/>
      <c r="AR54" s="20" t="n"/>
      <c r="AS54" s="20" t="n"/>
      <c r="AT54" s="20" t="n"/>
      <c r="AU54" s="20" t="n"/>
      <c r="AV54" s="20" t="n"/>
      <c r="AW54" s="20" t="n"/>
      <c r="AX54" s="20" t="inlineStr">
        <is>
          <t>Background, outside main synthesis</t>
        </is>
      </c>
      <c r="AY54" s="20" t="inlineStr">
        <is>
          <t>Tighter relevance screen of supplied title, context and summary; not a new full-text assessment.</t>
        </is>
      </c>
      <c r="AZ54" s="20" t="inlineStr">
        <is>
          <t>Other-discipline educational evidence; potentially transferable background, outside the Computing/IT assessment sample.</t>
        </is>
      </c>
      <c r="BA54" s="20" t="inlineStr">
        <is>
          <t>Not independently checked against original full text.</t>
        </is>
      </c>
    </row>
    <row r="55" ht="110.1" customHeight="1">
      <c r="A55" s="11" t="inlineStr">
        <is>
          <t>R54</t>
        </is>
      </c>
      <c r="B55" s="11" t="inlineStr">
        <is>
          <t>14/10/2026</t>
        </is>
      </c>
      <c r="C55" s="11" t="inlineStr">
        <is>
          <t>User paper list, item 39</t>
        </is>
      </c>
      <c r="D55" s="23" t="inlineStr">
        <is>
          <t>ChatGPT versus human essayists: an exploration of the impact of artificial intelligence for authorship and academic integrity in the humanities Original file: Relevant Papers 2022-26(1).docx</t>
        </is>
      </c>
      <c r="E55" s="11" t="n"/>
      <c r="F55" s="11" t="n">
        <v>2024</v>
      </c>
      <c r="G55" s="11" t="inlineStr">
        <is>
          <t>ChatGPT versus human essayists: an exploration of the impact of artificial intelligence for authorship and academic integrity in the humanities</t>
        </is>
      </c>
      <c r="H55" s="11" t="n"/>
      <c r="I55" s="11" t="inlineStr">
        <is>
          <t>https://doi.org/10.1007/s40979-024-00161-8</t>
        </is>
      </c>
      <c r="J55" s="11" t="inlineStr">
        <is>
          <t>Journal article (source list; verify)</t>
        </is>
      </c>
      <c r="K55" s="11" t="n"/>
      <c r="L55" s="11" t="inlineStr">
        <is>
          <t>Academic integrity, student behaviour and assessment challenges</t>
        </is>
      </c>
      <c r="M55" s="11" t="inlineStr">
        <is>
          <t>No</t>
        </is>
      </c>
      <c r="N55" s="11" t="n"/>
      <c r="O55" s="11" t="inlineStr">
        <is>
          <t>Include</t>
        </is>
      </c>
      <c r="P55" s="11" t="n"/>
      <c r="Q55" s="11" t="n"/>
      <c r="R55" s="13" t="inlineStr">
        <is>
          <t>Background</t>
        </is>
      </c>
      <c r="S55" s="11" t="n"/>
      <c r="T55" s="11" t="n"/>
      <c r="U55" s="11" t="inlineStr">
        <is>
          <t>Source-list summary (not verified against full text): Examines human and AI-authored writing in an academic context. Provides background on authorship and integrity challenges.</t>
        </is>
      </c>
      <c r="V55" s="11" t="n"/>
      <c r="W55"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Other-discipline educational evidence; potentially transferable background, outside the Computing/IT assessment sample.</t>
        </is>
      </c>
      <c r="AD55" s="20">
        <f>IF(G55="","",IF(F55="","",IF(AND(F55&gt;=2022,F55&lt;=2024),"Review 2026 applicability","")))</f>
        <v/>
      </c>
      <c r="AE55" s="20" t="n"/>
      <c r="AF55" s="20">
        <f>IF(G55="","",IF(I55="","",IF(COUNTIF($I$2:$I$100,I55)&gt;1,"Check duplicate","")))</f>
        <v/>
      </c>
      <c r="AG55" s="20">
        <f>IF(G55="","",IF(M55="Yes","Duplicate",IF(OR(R55="",R55="Pending"),"Review pending","")))</f>
        <v/>
      </c>
      <c r="AL55" s="18" t="inlineStr">
        <is>
          <t>R96</t>
        </is>
      </c>
      <c r="AO55" s="20" t="n"/>
      <c r="AP55" s="20" t="n"/>
      <c r="AQ55" s="20" t="n"/>
      <c r="AR55" s="20" t="n"/>
      <c r="AS55" s="20" t="n"/>
      <c r="AT55" s="20" t="n"/>
      <c r="AU55" s="20" t="n"/>
      <c r="AV55" s="20" t="n"/>
      <c r="AW55" s="20" t="n"/>
      <c r="AX55" s="20" t="inlineStr">
        <is>
          <t>Background, outside main synthesis</t>
        </is>
      </c>
      <c r="AY55" s="20" t="inlineStr">
        <is>
          <t>Tighter relevance screen of supplied title, context and summary; not a new full-text assessment.</t>
        </is>
      </c>
      <c r="AZ55" s="20" t="inlineStr">
        <is>
          <t>Other-discipline educational evidence; potentially transferable background, outside the Computing/IT assessment sample.</t>
        </is>
      </c>
      <c r="BA55" s="20" t="inlineStr">
        <is>
          <t>Not independently checked against original full text.</t>
        </is>
      </c>
    </row>
    <row r="56" ht="110.1" customHeight="1">
      <c r="A56" s="11" t="inlineStr">
        <is>
          <t>R55</t>
        </is>
      </c>
      <c r="B56" s="11" t="inlineStr">
        <is>
          <t>14/10/2026</t>
        </is>
      </c>
      <c r="C56" s="11" t="inlineStr">
        <is>
          <t>User paper list, item 40</t>
        </is>
      </c>
      <c r="D56" s="23" t="inlineStr">
        <is>
          <t>Can you spot the bot? Identifying AI-generated writing in college essays Original file: Relevant Papers 2022-26(1).docx</t>
        </is>
      </c>
      <c r="E56" s="11" t="n"/>
      <c r="F56" s="11" t="n">
        <v>2024</v>
      </c>
      <c r="G56" s="11" t="inlineStr">
        <is>
          <t>Can you spot the bot? Identifying AI-generated writing in college essays</t>
        </is>
      </c>
      <c r="H56" s="11" t="n"/>
      <c r="I56" s="11" t="inlineStr">
        <is>
          <t>https://doi.org/10.1007/s40979-024-00158-3</t>
        </is>
      </c>
      <c r="J56" s="11" t="inlineStr">
        <is>
          <t>Journal article (source list; verify)</t>
        </is>
      </c>
      <c r="K56" s="11" t="n"/>
      <c r="L56" s="11" t="inlineStr">
        <is>
          <t>Academic integrity, student behaviour and assessment challenges</t>
        </is>
      </c>
      <c r="M56" s="11" t="inlineStr">
        <is>
          <t>No</t>
        </is>
      </c>
      <c r="N56" s="11" t="n"/>
      <c r="O56" s="11" t="inlineStr">
        <is>
          <t>Include</t>
        </is>
      </c>
      <c r="P56" s="11" t="n"/>
      <c r="Q56" s="11" t="n"/>
      <c r="R56" s="13" t="inlineStr">
        <is>
          <t>Background</t>
        </is>
      </c>
      <c r="S56" s="11" t="n"/>
      <c r="T56" s="11" t="n"/>
      <c r="U56" s="11" t="inlineStr">
        <is>
          <t>Source-list summary (not verified against full text): Investigates recognition of AI-generated student writing. Useful background for assessing the limits of detection-oriented approaches.</t>
        </is>
      </c>
      <c r="V56" s="11" t="n"/>
      <c r="W56"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Other-discipline educational evidence; potentially transferable background, outside the Computing/IT assessment sample.</t>
        </is>
      </c>
      <c r="AD56" s="20">
        <f>IF(G56="","",IF(F56="","",IF(AND(F56&gt;=2022,F56&lt;=2024),"Review 2026 applicability","")))</f>
        <v/>
      </c>
      <c r="AE56" s="20" t="n"/>
      <c r="AF56" s="20">
        <f>IF(G56="","",IF(I56="","",IF(COUNTIF($I$2:$I$100,I56)&gt;1,"Check duplicate","")))</f>
        <v/>
      </c>
      <c r="AG56" s="20">
        <f>IF(G56="","",IF(M56="Yes","Duplicate",IF(OR(R56="",R56="Pending"),"Review pending","")))</f>
        <v/>
      </c>
      <c r="AL56" s="18" t="inlineStr">
        <is>
          <t>R96</t>
        </is>
      </c>
      <c r="AO56" s="20" t="n"/>
      <c r="AP56" s="20" t="n"/>
      <c r="AQ56" s="20" t="n"/>
      <c r="AR56" s="20" t="n"/>
      <c r="AS56" s="20" t="n"/>
      <c r="AT56" s="20" t="n"/>
      <c r="AU56" s="20" t="n"/>
      <c r="AV56" s="20" t="n"/>
      <c r="AW56" s="20" t="n"/>
      <c r="AX56" s="20" t="inlineStr">
        <is>
          <t>Background, outside main synthesis</t>
        </is>
      </c>
      <c r="AY56" s="20" t="inlineStr">
        <is>
          <t>Tighter relevance screen of supplied title, context and summary; not a new full-text assessment.</t>
        </is>
      </c>
      <c r="AZ56" s="20" t="inlineStr">
        <is>
          <t>Other-discipline educational evidence; potentially transferable background, outside the Computing/IT assessment sample.</t>
        </is>
      </c>
      <c r="BA56" s="20" t="inlineStr">
        <is>
          <t>Not independently checked against original full text.</t>
        </is>
      </c>
    </row>
    <row r="57" ht="110.1" customHeight="1">
      <c r="A57" s="11" t="inlineStr">
        <is>
          <t>R56</t>
        </is>
      </c>
      <c r="B57" s="11" t="inlineStr">
        <is>
          <t>14/10/2026</t>
        </is>
      </c>
      <c r="C57" s="11" t="inlineStr">
        <is>
          <t>User paper list, item 41</t>
        </is>
      </c>
      <c r="D57" s="23" t="inlineStr">
        <is>
          <t>Chat or cheat? Academic dishonesty, risk perceptions, and ChatGPT usage in higher education students Original file: Relevant Papers 2022-26(1).docx</t>
        </is>
      </c>
      <c r="E57" s="11" t="n"/>
      <c r="F57" s="11" t="n">
        <v>2025</v>
      </c>
      <c r="G57" s="11" t="inlineStr">
        <is>
          <t>Chat or cheat? Academic dishonesty, risk perceptions, and ChatGPT usage in higher education students</t>
        </is>
      </c>
      <c r="H57" s="11" t="n"/>
      <c r="I57" s="11" t="inlineStr">
        <is>
          <t>https://doi.org/10.1007/s11218-025-10080-2</t>
        </is>
      </c>
      <c r="J57" s="11" t="inlineStr">
        <is>
          <t>Journal article (source list; verify)</t>
        </is>
      </c>
      <c r="K57" s="11" t="n"/>
      <c r="L57" s="11" t="inlineStr">
        <is>
          <t>Academic integrity, student behaviour and assessment challenges</t>
        </is>
      </c>
      <c r="M57" s="11" t="inlineStr">
        <is>
          <t>No</t>
        </is>
      </c>
      <c r="N57" s="11" t="n"/>
      <c r="O57" s="11" t="inlineStr">
        <is>
          <t>Include</t>
        </is>
      </c>
      <c r="P57" s="11" t="n"/>
      <c r="Q57" s="11" t="n"/>
      <c r="R57" s="13" t="inlineStr">
        <is>
          <t>Background</t>
        </is>
      </c>
      <c r="S57" s="11" t="n"/>
      <c r="T57" s="11" t="n"/>
      <c r="U57" s="11" t="inlineStr">
        <is>
          <t>Source-list summary (not verified against full text): Explores student use of ChatGPT alongside risk perceptions and dishonesty. Adds behavioural context for assessment policy design.</t>
        </is>
      </c>
      <c r="V57" s="11" t="n"/>
      <c r="W57"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57" s="20">
        <f>IF(G57="","",IF(F57="","",IF(AND(F57&gt;=2022,F57&lt;=2024),"Review 2026 applicability","")))</f>
        <v/>
      </c>
      <c r="AE57" s="20" t="n"/>
      <c r="AF57" s="20">
        <f>IF(G57="","",IF(I57="","",IF(COUNTIF($I$2:$I$100,I57)&gt;1,"Check duplicate","")))</f>
        <v/>
      </c>
      <c r="AG57" s="20">
        <f>IF(G57="","",IF(M57="Yes","Duplicate",IF(OR(R57="",R57="Pending"),"Review pending","")))</f>
        <v/>
      </c>
      <c r="AL57" s="18" t="inlineStr">
        <is>
          <t>R96</t>
        </is>
      </c>
      <c r="AO57" s="20" t="n"/>
      <c r="AP57" s="20" t="n"/>
      <c r="AQ57" s="20" t="n"/>
      <c r="AR57" s="20" t="n"/>
      <c r="AS57" s="20" t="n"/>
      <c r="AT57" s="20" t="n"/>
      <c r="AU57" s="20" t="n"/>
      <c r="AV57" s="20" t="n"/>
      <c r="AW57" s="20" t="n"/>
      <c r="AX57" s="20" t="inlineStr">
        <is>
          <t>Background, outside main synthesis</t>
        </is>
      </c>
      <c r="AY57" s="20" t="inlineStr">
        <is>
          <t>Tighter relevance screen of supplied title, context and summary; not a new full-text assessment.</t>
        </is>
      </c>
      <c r="AZ57" s="20" t="inlineStr">
        <is>
          <t>Broad AI, learning, literacy or policy context, or insufficient direct assessment-design evidence in the supplied summary; retain for background only.</t>
        </is>
      </c>
      <c r="BA57" s="20" t="inlineStr">
        <is>
          <t>Not independently checked against original full text.</t>
        </is>
      </c>
    </row>
    <row r="58" ht="110.1" customHeight="1">
      <c r="A58" s="11" t="inlineStr">
        <is>
          <t>R57</t>
        </is>
      </c>
      <c r="B58" s="11" t="inlineStr">
        <is>
          <t>14/10/2026</t>
        </is>
      </c>
      <c r="C58" s="11" t="inlineStr">
        <is>
          <t>User paper list, item 42</t>
        </is>
      </c>
      <c r="D58" s="23" t="inlineStr">
        <is>
          <t>The rapid rise of generative AI and its implications for academic integrity: Students’ perceptions and use of chatbots for assistance with assessments Original file: Relevant Papers 2022-26(1).docx</t>
        </is>
      </c>
      <c r="E58" s="11" t="n"/>
      <c r="F58" s="11" t="n">
        <v>2024</v>
      </c>
      <c r="G58" s="11" t="inlineStr">
        <is>
          <t>The rapid rise of generative AI and its implications for academic integrity: Students’ perceptions and use of chatbots for assistance with assessments</t>
        </is>
      </c>
      <c r="H58" s="11" t="n"/>
      <c r="I58" s="11" t="inlineStr">
        <is>
          <t>https://doi.org/10.1016/j.caeai.2024.100273</t>
        </is>
      </c>
      <c r="J58" s="11" t="inlineStr">
        <is>
          <t>Journal article (source list; verify)</t>
        </is>
      </c>
      <c r="K58" s="11" t="n"/>
      <c r="L58" s="11" t="inlineStr">
        <is>
          <t>Academic integrity, student behaviour and assessment challenges</t>
        </is>
      </c>
      <c r="M58" s="11" t="inlineStr">
        <is>
          <t>No</t>
        </is>
      </c>
      <c r="N58" s="11" t="n"/>
      <c r="O58" s="11" t="inlineStr">
        <is>
          <t>Include</t>
        </is>
      </c>
      <c r="P58" s="11" t="n"/>
      <c r="Q58" s="11" t="n"/>
      <c r="R58" s="13" t="inlineStr">
        <is>
          <t>Background</t>
        </is>
      </c>
      <c r="S58" s="11" t="n"/>
      <c r="T58" s="11" t="n"/>
      <c r="U58" s="11" t="inlineStr">
        <is>
          <t>Source-list summary (not verified against full text): Examines how students perceive and use chatbots for coursework. Helps inform realistic policies for permitted AI assistance.</t>
        </is>
      </c>
      <c r="V58" s="11" t="n"/>
      <c r="W58"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58" s="20">
        <f>IF(G58="","",IF(F58="","",IF(AND(F58&gt;=2022,F58&lt;=2024),"Review 2026 applicability","")))</f>
        <v/>
      </c>
      <c r="AE58" s="20" t="n"/>
      <c r="AF58" s="20">
        <f>IF(G58="","",IF(I58="","",IF(COUNTIF($I$2:$I$100,I58)&gt;1,"Check duplicate","")))</f>
        <v/>
      </c>
      <c r="AG58" s="20">
        <f>IF(G58="","",IF(M58="Yes","Duplicate",IF(OR(R58="",R58="Pending"),"Review pending","")))</f>
        <v/>
      </c>
      <c r="AL58" s="18" t="inlineStr">
        <is>
          <t>R96</t>
        </is>
      </c>
      <c r="AO58" s="20" t="n"/>
      <c r="AP58" s="20" t="n"/>
      <c r="AQ58" s="20" t="n"/>
      <c r="AR58" s="20" t="n"/>
      <c r="AS58" s="20" t="n"/>
      <c r="AT58" s="20" t="n"/>
      <c r="AU58" s="20" t="n"/>
      <c r="AV58" s="20" t="n"/>
      <c r="AW58" s="20" t="n"/>
      <c r="AX58" s="20" t="inlineStr">
        <is>
          <t>Background, outside main synthesis</t>
        </is>
      </c>
      <c r="AY58" s="20" t="inlineStr">
        <is>
          <t>Tighter relevance screen of supplied title, context and summary; not a new full-text assessment.</t>
        </is>
      </c>
      <c r="AZ58" s="20" t="inlineStr">
        <is>
          <t>Broad AI, learning, literacy or policy context, or insufficient direct assessment-design evidence in the supplied summary; retain for background only.</t>
        </is>
      </c>
      <c r="BA58" s="20" t="inlineStr">
        <is>
          <t>Not independently checked against original full text.</t>
        </is>
      </c>
    </row>
    <row r="59" ht="110.1" customHeight="1">
      <c r="A59" s="11" t="inlineStr">
        <is>
          <t>R58</t>
        </is>
      </c>
      <c r="B59" s="11" t="inlineStr">
        <is>
          <t>14/10/2026</t>
        </is>
      </c>
      <c r="C59" s="11" t="inlineStr">
        <is>
          <t>User paper list, item 43</t>
        </is>
      </c>
      <c r="D59" s="23" t="inlineStr">
        <is>
          <t>Developing generative AI literacies through self-regulated learning: A human-centered approach Original file: Relevant Papers 2022-26(1).docx</t>
        </is>
      </c>
      <c r="E59" s="11" t="n"/>
      <c r="F59" s="11" t="n">
        <v>2025</v>
      </c>
      <c r="G59" s="11" t="inlineStr">
        <is>
          <t>Developing generative AI literacies through self-regulated learning: A human-centered approach</t>
        </is>
      </c>
      <c r="H59" s="11" t="n"/>
      <c r="I59" s="11" t="inlineStr">
        <is>
          <t>https://doi.org/10.1016/j.caeai.2025.100482</t>
        </is>
      </c>
      <c r="J59" s="11" t="inlineStr">
        <is>
          <t>Journal article (source list; verify)</t>
        </is>
      </c>
      <c r="K59" s="11" t="n"/>
      <c r="L59" s="11" t="inlineStr">
        <is>
          <t>AI literacy, metacognition and responsible GenAI integration</t>
        </is>
      </c>
      <c r="M59" s="11" t="inlineStr">
        <is>
          <t>No</t>
        </is>
      </c>
      <c r="N59" s="11" t="n"/>
      <c r="O59" s="11" t="inlineStr">
        <is>
          <t>Include</t>
        </is>
      </c>
      <c r="P59" s="11" t="n"/>
      <c r="Q59" s="11" t="n"/>
      <c r="R59" s="13" t="inlineStr">
        <is>
          <t>Background</t>
        </is>
      </c>
      <c r="S59" s="11" t="n"/>
      <c r="T59" s="11" t="n"/>
      <c r="U59" s="11" t="inlineStr">
        <is>
          <t>Source-list summary (not verified against full text): Investigates AI literacy alongside planning, iteration and evaluation. Supports staged tasks that preserve students’ agency.</t>
        </is>
      </c>
      <c r="V59" s="11" t="n"/>
      <c r="W59"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59" s="20">
        <f>IF(G59="","",IF(F59="","",IF(AND(F59&gt;=2022,F59&lt;=2024),"Review 2026 applicability","")))</f>
        <v/>
      </c>
      <c r="AE59" s="20" t="n"/>
      <c r="AF59" s="20">
        <f>IF(G59="","",IF(I59="","",IF(COUNTIF($I$2:$I$100,I59)&gt;1,"Check duplicate","")))</f>
        <v/>
      </c>
      <c r="AG59" s="20">
        <f>IF(G59="","",IF(M59="Yes","Duplicate",IF(OR(R59="",R59="Pending"),"Review pending","")))</f>
        <v/>
      </c>
      <c r="AL59" s="18" t="inlineStr">
        <is>
          <t>R96</t>
        </is>
      </c>
      <c r="AO59" s="20" t="n"/>
      <c r="AP59" s="20" t="n"/>
      <c r="AQ59" s="20" t="n"/>
      <c r="AR59" s="20" t="n"/>
      <c r="AS59" s="20" t="n"/>
      <c r="AT59" s="20" t="n"/>
      <c r="AU59" s="20" t="n"/>
      <c r="AV59" s="20" t="n"/>
      <c r="AW59" s="20" t="n"/>
      <c r="AX59" s="20" t="inlineStr">
        <is>
          <t>Background, outside main synthesis</t>
        </is>
      </c>
      <c r="AY59" s="20" t="inlineStr">
        <is>
          <t>Tighter relevance screen of supplied title, context and summary; not a new full-text assessment.</t>
        </is>
      </c>
      <c r="AZ59" s="20" t="inlineStr">
        <is>
          <t>Broad AI, learning, literacy or policy context, or insufficient direct assessment-design evidence in the supplied summary; retain for background only.</t>
        </is>
      </c>
      <c r="BA59" s="20" t="inlineStr">
        <is>
          <t>Not independently checked against original full text.</t>
        </is>
      </c>
    </row>
    <row r="60" ht="110.1" customHeight="1">
      <c r="A60" s="11" t="inlineStr">
        <is>
          <t>R59</t>
        </is>
      </c>
      <c r="B60" s="11" t="inlineStr">
        <is>
          <t>14/10/2026</t>
        </is>
      </c>
      <c r="C60" s="11" t="inlineStr">
        <is>
          <t>User paper list, item 44</t>
        </is>
      </c>
      <c r="D60" s="23" t="inlineStr">
        <is>
          <t>Beyond tool use: Tracking the evolution of generative AI literacy among university students through a process-oriented investigation Original file: Relevant Papers 2022-26(1).docx</t>
        </is>
      </c>
      <c r="E60" s="11" t="n"/>
      <c r="F60" s="11" t="n">
        <v>2025</v>
      </c>
      <c r="G60" s="11" t="inlineStr">
        <is>
          <t>Beyond tool use: Tracking the evolution of generative AI literacy among university students through a process-oriented investigation</t>
        </is>
      </c>
      <c r="H60" s="11" t="n"/>
      <c r="I60" s="11" t="inlineStr">
        <is>
          <t>https://doi.org/10.1016/j.caeai.2025.100465</t>
        </is>
      </c>
      <c r="J60" s="11" t="inlineStr">
        <is>
          <t>Journal article (source list; verify)</t>
        </is>
      </c>
      <c r="K60" s="11" t="n"/>
      <c r="L60" s="11" t="inlineStr">
        <is>
          <t>AI literacy, metacognition and responsible GenAI integration</t>
        </is>
      </c>
      <c r="M60" s="11" t="inlineStr">
        <is>
          <t>No</t>
        </is>
      </c>
      <c r="N60" s="11" t="n"/>
      <c r="O60" s="11" t="inlineStr">
        <is>
          <t>Include</t>
        </is>
      </c>
      <c r="P60" s="11" t="n"/>
      <c r="Q60" s="11" t="n"/>
      <c r="R60" s="13" t="inlineStr">
        <is>
          <t>Background</t>
        </is>
      </c>
      <c r="S60" s="11" t="n"/>
      <c r="T60" s="11" t="n"/>
      <c r="U60" s="11" t="inlineStr">
        <is>
          <t>Source-list summary (not verified against full text): Tracks students’ AI literacy as it develops through repeated use and reflection. Relevant to evaluating the process of AI collaboration.</t>
        </is>
      </c>
      <c r="V60" s="11" t="n"/>
      <c r="W60"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60" s="20">
        <f>IF(G60="","",IF(F60="","",IF(AND(F60&gt;=2022,F60&lt;=2024),"Review 2026 applicability","")))</f>
        <v/>
      </c>
      <c r="AE60" s="20" t="n"/>
      <c r="AF60" s="20">
        <f>IF(G60="","",IF(I60="","",IF(COUNTIF($I$2:$I$100,I60)&gt;1,"Check duplicate","")))</f>
        <v/>
      </c>
      <c r="AG60" s="20">
        <f>IF(G60="","",IF(M60="Yes","Duplicate",IF(OR(R60="",R60="Pending"),"Review pending","")))</f>
        <v/>
      </c>
      <c r="AL60" s="18" t="inlineStr">
        <is>
          <t>R96</t>
        </is>
      </c>
      <c r="AO60" s="20" t="n"/>
      <c r="AP60" s="20" t="n"/>
      <c r="AQ60" s="20" t="n"/>
      <c r="AR60" s="20" t="n"/>
      <c r="AS60" s="20" t="n"/>
      <c r="AT60" s="20" t="n"/>
      <c r="AU60" s="20" t="n"/>
      <c r="AV60" s="20" t="n"/>
      <c r="AW60" s="20" t="n"/>
      <c r="AX60" s="20" t="inlineStr">
        <is>
          <t>Background, outside main synthesis</t>
        </is>
      </c>
      <c r="AY60" s="20" t="inlineStr">
        <is>
          <t>Tighter relevance screen of supplied title, context and summary; not a new full-text assessment.</t>
        </is>
      </c>
      <c r="AZ60" s="20" t="inlineStr">
        <is>
          <t>Broad AI, learning, literacy or policy context, or insufficient direct assessment-design evidence in the supplied summary; retain for background only.</t>
        </is>
      </c>
      <c r="BA60" s="20" t="inlineStr">
        <is>
          <t>Not independently checked against original full text.</t>
        </is>
      </c>
    </row>
    <row r="61" ht="110.1" customHeight="1">
      <c r="A61" s="11" t="inlineStr">
        <is>
          <t>R60</t>
        </is>
      </c>
      <c r="B61" s="11" t="inlineStr">
        <is>
          <t>14/10/2026</t>
        </is>
      </c>
      <c r="C61" s="11" t="inlineStr">
        <is>
          <t>User paper list, item 45</t>
        </is>
      </c>
      <c r="D61" s="23" t="inlineStr">
        <is>
          <t>Combining human and artificial intelligence for enhanced AI literacy in higher education Original file: Relevant Papers 2022-26(1).docx</t>
        </is>
      </c>
      <c r="E61" s="11" t="n"/>
      <c r="F61" s="11" t="n">
        <v>2024</v>
      </c>
      <c r="G61" s="11" t="inlineStr">
        <is>
          <t>Combining human and artificial intelligence for enhanced AI literacy in higher education</t>
        </is>
      </c>
      <c r="H61" s="11" t="n"/>
      <c r="I61" s="11" t="inlineStr">
        <is>
          <t>https://doi.org/10.1016/j.caeo.2024.100184</t>
        </is>
      </c>
      <c r="J61" s="11" t="inlineStr">
        <is>
          <t>Journal article (source list; verify)</t>
        </is>
      </c>
      <c r="K61" s="11" t="n"/>
      <c r="L61" s="11" t="inlineStr">
        <is>
          <t>AI literacy, metacognition and responsible GenAI integration</t>
        </is>
      </c>
      <c r="M61" s="11" t="inlineStr">
        <is>
          <t>No</t>
        </is>
      </c>
      <c r="N61" s="11" t="n"/>
      <c r="O61" s="11" t="inlineStr">
        <is>
          <t>Include</t>
        </is>
      </c>
      <c r="P61" s="11" t="n"/>
      <c r="Q61" s="11" t="n"/>
      <c r="R61" s="12" t="inlineStr">
        <is>
          <t>Background</t>
        </is>
      </c>
      <c r="S61" s="11" t="n"/>
      <c r="T61" s="11" t="n"/>
      <c r="U61" s="11" t="inlineStr">
        <is>
          <t>Source-list summary (not verified against full text): Explores approaches to building AI literacy in university learning. Supports assessing students’ ability to collaborate with AI responsibly.</t>
        </is>
      </c>
      <c r="V61" s="11" t="n"/>
      <c r="W61"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61" s="20">
        <f>IF(G61="","",IF(F61="","",IF(AND(F61&gt;=2022,F61&lt;=2024),"Review 2026 applicability","")))</f>
        <v/>
      </c>
      <c r="AE61" s="20" t="n"/>
      <c r="AF61" s="20">
        <f>IF(G61="","",IF(I61="","",IF(COUNTIF($I$2:$I$100,I61)&gt;1,"Check duplicate","")))</f>
        <v/>
      </c>
      <c r="AG61" s="20">
        <f>IF(G61="","",IF(M61="Yes","Duplicate",IF(OR(R61="",R61="Pending"),"Review pending","")))</f>
        <v/>
      </c>
      <c r="AL61" t="inlineStr">
        <is>
          <t>R96</t>
        </is>
      </c>
      <c r="AO61" s="20" t="n"/>
      <c r="AP61" s="20" t="n"/>
      <c r="AQ61" s="20" t="n"/>
      <c r="AR61" s="20" t="n"/>
      <c r="AS61" s="20" t="n"/>
      <c r="AT61" s="20" t="n"/>
      <c r="AU61" s="20" t="n"/>
      <c r="AV61" s="20" t="n"/>
      <c r="AW61" s="20" t="n"/>
      <c r="AX61" s="20" t="inlineStr">
        <is>
          <t>Background, outside main synthesis</t>
        </is>
      </c>
      <c r="AY61" s="20" t="inlineStr">
        <is>
          <t>Tighter relevance screen of supplied title, context and summary; not a new full-text assessment.</t>
        </is>
      </c>
      <c r="AZ61" s="20" t="inlineStr">
        <is>
          <t>Broad AI, learning, literacy or policy context, or insufficient direct assessment-design evidence in the supplied summary; retain for background only.</t>
        </is>
      </c>
      <c r="BA61" s="20" t="inlineStr">
        <is>
          <t>Not independently checked against original full text.</t>
        </is>
      </c>
    </row>
    <row r="62" ht="110.1" customHeight="1">
      <c r="A62" s="11" t="inlineStr">
        <is>
          <t>R61</t>
        </is>
      </c>
      <c r="B62" s="11" t="inlineStr">
        <is>
          <t>14/10/2026</t>
        </is>
      </c>
      <c r="C62" s="11" t="inlineStr">
        <is>
          <t>User paper list, item 46</t>
        </is>
      </c>
      <c r="D62" s="23" t="inlineStr">
        <is>
          <t>What undergraduate students need to know and actually know about generative AI Original file: Relevant Papers 2022-26(1).docx</t>
        </is>
      </c>
      <c r="E62" s="11" t="n"/>
      <c r="F62" s="11" t="n">
        <v>2026</v>
      </c>
      <c r="G62" s="11" t="inlineStr">
        <is>
          <t>What undergraduate students need to know and actually know about generative AI</t>
        </is>
      </c>
      <c r="H62" s="11" t="n"/>
      <c r="I62" s="11" t="inlineStr">
        <is>
          <t>https://doi.org/10.1016/j.caeai.2026.100554</t>
        </is>
      </c>
      <c r="J62" s="11" t="inlineStr">
        <is>
          <t>Journal article (source list; verify)</t>
        </is>
      </c>
      <c r="K62" s="11" t="n"/>
      <c r="L62" s="11" t="inlineStr">
        <is>
          <t>AI literacy, metacognition and responsible GenAI integration</t>
        </is>
      </c>
      <c r="M62" s="11" t="inlineStr">
        <is>
          <t>No</t>
        </is>
      </c>
      <c r="N62" s="11" t="n"/>
      <c r="O62" s="11" t="inlineStr">
        <is>
          <t>Include</t>
        </is>
      </c>
      <c r="P62" s="11" t="n"/>
      <c r="Q62" s="11" t="n"/>
      <c r="R62" s="12" t="inlineStr">
        <is>
          <t>Background</t>
        </is>
      </c>
      <c r="S62" s="11" t="n"/>
      <c r="T62" s="11" t="n"/>
      <c r="U62" s="11" t="inlineStr">
        <is>
          <t>Source-list summary (not verified against full text): Investigates what students understand about GenAI capabilities and limitations. Shows why AI literacy should be assessed explicitly.</t>
        </is>
      </c>
      <c r="V62" s="11" t="n"/>
      <c r="W62"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62" s="20">
        <f>IF(G62="","",IF(F62="","",IF(AND(F62&gt;=2022,F62&lt;=2024),"Review 2026 applicability","")))</f>
        <v/>
      </c>
      <c r="AE62" s="20" t="n"/>
      <c r="AF62" s="20">
        <f>IF(G62="","",IF(I62="","",IF(COUNTIF($I$2:$I$100,I62)&gt;1,"Check duplicate","")))</f>
        <v/>
      </c>
      <c r="AG62" s="20">
        <f>IF(G62="","",IF(M62="Yes","Duplicate",IF(OR(R62="",R62="Pending"),"Review pending","")))</f>
        <v/>
      </c>
      <c r="AL62" t="inlineStr">
        <is>
          <t>R96</t>
        </is>
      </c>
      <c r="AO62" s="20" t="n"/>
      <c r="AP62" s="20" t="n"/>
      <c r="AQ62" s="20" t="n"/>
      <c r="AR62" s="20" t="n"/>
      <c r="AS62" s="20" t="n"/>
      <c r="AT62" s="20" t="n"/>
      <c r="AU62" s="20" t="n"/>
      <c r="AV62" s="20" t="n"/>
      <c r="AW62" s="20" t="n"/>
      <c r="AX62" s="20" t="inlineStr">
        <is>
          <t>Background, outside main synthesis</t>
        </is>
      </c>
      <c r="AY62" s="20" t="inlineStr">
        <is>
          <t>Tighter relevance screen of supplied title, context and summary; not a new full-text assessment.</t>
        </is>
      </c>
      <c r="AZ62" s="20" t="inlineStr">
        <is>
          <t>Broad AI, learning, literacy or policy context, or insufficient direct assessment-design evidence in the supplied summary; retain for background only.</t>
        </is>
      </c>
      <c r="BA62" s="20" t="inlineStr">
        <is>
          <t>Not independently checked against original full text.</t>
        </is>
      </c>
    </row>
    <row r="63" ht="110.1" customHeight="1">
      <c r="A63" s="11" t="inlineStr">
        <is>
          <t>R62</t>
        </is>
      </c>
      <c r="B63" s="11" t="inlineStr">
        <is>
          <t>14/10/2026</t>
        </is>
      </c>
      <c r="C63" s="11" t="inlineStr">
        <is>
          <t>User paper list, item 47</t>
        </is>
      </c>
      <c r="D63" s="23" t="inlineStr">
        <is>
          <t>Future research recommendations for transforming higher education with generative AI Original file: Relevant Papers 2022-26(1).docx</t>
        </is>
      </c>
      <c r="E63" s="11" t="n"/>
      <c r="F63" s="11" t="n">
        <v>2024</v>
      </c>
      <c r="G63" s="11" t="inlineStr">
        <is>
          <t>Future research recommendations for transforming higher education with generative AI</t>
        </is>
      </c>
      <c r="H63" s="11" t="n"/>
      <c r="I63" s="11" t="inlineStr">
        <is>
          <t>https://doi.org/10.1016/j.caeai.2023.100197</t>
        </is>
      </c>
      <c r="J63" s="11" t="inlineStr">
        <is>
          <t>Journal article (source list; verify)</t>
        </is>
      </c>
      <c r="K63" s="11" t="n"/>
      <c r="L63" s="11" t="inlineStr">
        <is>
          <t>AI literacy, metacognition and responsible GenAI integration</t>
        </is>
      </c>
      <c r="M63" s="11" t="inlineStr">
        <is>
          <t>No</t>
        </is>
      </c>
      <c r="N63" s="11" t="n"/>
      <c r="O63" s="11" t="inlineStr">
        <is>
          <t>Include</t>
        </is>
      </c>
      <c r="P63" s="11" t="n"/>
      <c r="Q63" s="11" t="n"/>
      <c r="R63" s="12" t="inlineStr">
        <is>
          <t>Background</t>
        </is>
      </c>
      <c r="S63" s="11" t="n"/>
      <c r="T63" s="11" t="n"/>
      <c r="U63" s="11" t="inlineStr">
        <is>
          <t>Source-list summary (not verified against full text): Identifies educational priorities such as employability and AI literacy. Provides context for designing assessments aligned with workplaces.</t>
        </is>
      </c>
      <c r="V63" s="11" t="n"/>
      <c r="W63"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63" s="20">
        <f>IF(G63="","",IF(F63="","",IF(AND(F63&gt;=2022,F63&lt;=2024),"Review 2026 applicability","")))</f>
        <v/>
      </c>
      <c r="AE63" s="20" t="n"/>
      <c r="AF63" s="20">
        <f>IF(G63="","",IF(I63="","",IF(COUNTIF($I$2:$I$100,I63)&gt;1,"Check duplicate","")))</f>
        <v/>
      </c>
      <c r="AG63" s="20">
        <f>IF(G63="","",IF(M63="Yes","Duplicate",IF(OR(R63="",R63="Pending"),"Review pending","")))</f>
        <v/>
      </c>
      <c r="AL63" t="inlineStr">
        <is>
          <t>R96</t>
        </is>
      </c>
      <c r="AO63" s="20" t="n"/>
      <c r="AP63" s="20" t="n"/>
      <c r="AQ63" s="20" t="n"/>
      <c r="AR63" s="20" t="n"/>
      <c r="AS63" s="20" t="n"/>
      <c r="AT63" s="20" t="n"/>
      <c r="AU63" s="20" t="n"/>
      <c r="AV63" s="20" t="n"/>
      <c r="AW63" s="20" t="n"/>
      <c r="AX63" s="20" t="inlineStr">
        <is>
          <t>Background, outside main synthesis</t>
        </is>
      </c>
      <c r="AY63" s="20" t="inlineStr">
        <is>
          <t>Tighter relevance screen of supplied title, context and summary; not a new full-text assessment.</t>
        </is>
      </c>
      <c r="AZ63" s="20" t="inlineStr">
        <is>
          <t>Broad AI, learning, literacy or policy context, or insufficient direct assessment-design evidence in the supplied summary; retain for background only.</t>
        </is>
      </c>
      <c r="BA63" s="20" t="inlineStr">
        <is>
          <t>Not independently checked against original full text.</t>
        </is>
      </c>
    </row>
    <row r="64" ht="110.1" customHeight="1">
      <c r="A64" s="11" t="inlineStr">
        <is>
          <t>R63</t>
        </is>
      </c>
      <c r="B64" s="11" t="inlineStr">
        <is>
          <t>14/10/2026</t>
        </is>
      </c>
      <c r="C64" s="11" t="inlineStr">
        <is>
          <t>User paper list, item 48</t>
        </is>
      </c>
      <c r="D64" s="23" t="inlineStr">
        <is>
          <t>Examining Faculty and Student Perceptions of Generative AI in University Courses Original file: Relevant Papers 2022-26(1).docx</t>
        </is>
      </c>
      <c r="E64" s="11" t="n"/>
      <c r="F64" s="11" t="n">
        <v>2025</v>
      </c>
      <c r="G64" s="11" t="inlineStr">
        <is>
          <t>Examining Faculty and Student Perceptions of Generative AI in University Courses</t>
        </is>
      </c>
      <c r="H64" s="11" t="n"/>
      <c r="I64" s="11" t="inlineStr">
        <is>
          <t>https://doi.org/10.1007/s10755-024-09774-w</t>
        </is>
      </c>
      <c r="J64" s="11" t="inlineStr">
        <is>
          <t>Journal article (source list; verify)</t>
        </is>
      </c>
      <c r="K64" s="11" t="n"/>
      <c r="L64" s="11" t="inlineStr">
        <is>
          <t>AI literacy, metacognition and responsible GenAI integration</t>
        </is>
      </c>
      <c r="M64" s="11" t="inlineStr">
        <is>
          <t>No</t>
        </is>
      </c>
      <c r="N64" s="11" t="n"/>
      <c r="O64" s="11" t="inlineStr">
        <is>
          <t>Include</t>
        </is>
      </c>
      <c r="P64" s="11" t="n"/>
      <c r="Q64" s="11" t="n"/>
      <c r="R64" s="12" t="inlineStr">
        <is>
          <t>Background</t>
        </is>
      </c>
      <c r="S64" s="11" t="n"/>
      <c r="T64" s="11" t="n"/>
      <c r="U64" s="11" t="inlineStr">
        <is>
          <t>Source-list summary (not verified against full text): Compares faculty and student attitudes towards GenAI in university courses. Helps inform policies that are practical for both groups.</t>
        </is>
      </c>
      <c r="V64" s="11" t="n"/>
      <c r="W64"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64" s="20">
        <f>IF(G64="","",IF(F64="","",IF(AND(F64&gt;=2022,F64&lt;=2024),"Review 2026 applicability","")))</f>
        <v/>
      </c>
      <c r="AE64" s="20" t="n"/>
      <c r="AF64" s="20">
        <f>IF(G64="","",IF(I64="","",IF(COUNTIF($I$2:$I$100,I64)&gt;1,"Check duplicate","")))</f>
        <v/>
      </c>
      <c r="AG64" s="20">
        <f>IF(G64="","",IF(M64="Yes","Duplicate",IF(OR(R64="",R64="Pending"),"Review pending","")))</f>
        <v/>
      </c>
      <c r="AL64" t="inlineStr">
        <is>
          <t>R96</t>
        </is>
      </c>
      <c r="AO64" s="20" t="n"/>
      <c r="AP64" s="20" t="n"/>
      <c r="AQ64" s="20" t="n"/>
      <c r="AR64" s="20" t="n"/>
      <c r="AS64" s="20" t="n"/>
      <c r="AT64" s="20" t="n"/>
      <c r="AU64" s="20" t="n"/>
      <c r="AV64" s="20" t="n"/>
      <c r="AW64" s="20" t="n"/>
      <c r="AX64" s="20" t="inlineStr">
        <is>
          <t>Background, outside main synthesis</t>
        </is>
      </c>
      <c r="AY64" s="20" t="inlineStr">
        <is>
          <t>Tighter relevance screen of supplied title, context and summary; not a new full-text assessment.</t>
        </is>
      </c>
      <c r="AZ64" s="20" t="inlineStr">
        <is>
          <t>Broad AI, learning, literacy or policy context, or insufficient direct assessment-design evidence in the supplied summary; retain for background only.</t>
        </is>
      </c>
      <c r="BA64" s="20" t="inlineStr">
        <is>
          <t>Not independently checked against original full text.</t>
        </is>
      </c>
    </row>
    <row r="65" ht="110.1" customHeight="1">
      <c r="A65" s="11" t="inlineStr">
        <is>
          <t>R64</t>
        </is>
      </c>
      <c r="B65" s="11" t="inlineStr">
        <is>
          <t>14/10/2026</t>
        </is>
      </c>
      <c r="C65" s="11" t="inlineStr">
        <is>
          <t>User paper list, item 49</t>
        </is>
      </c>
      <c r="D65" s="23" t="inlineStr">
        <is>
          <t>Evolution of Learning: Assessing the Transformative Impact of Generative AI on Higher Education Original file: Relevant Papers 2022-26(1).docx</t>
        </is>
      </c>
      <c r="E65" s="11" t="n"/>
      <c r="F65" s="11" t="n">
        <v>2025</v>
      </c>
      <c r="G65" s="11" t="inlineStr">
        <is>
          <t>Evolution of Learning: Assessing the Transformative Impact of Generative AI on Higher Education</t>
        </is>
      </c>
      <c r="H65" s="11" t="n"/>
      <c r="I65" s="11" t="inlineStr">
        <is>
          <t>https://doi.org/10.1007/s44366-025-0058-7</t>
        </is>
      </c>
      <c r="J65" s="11" t="inlineStr">
        <is>
          <t>Journal article (source list; verify)</t>
        </is>
      </c>
      <c r="K65" s="11" t="n"/>
      <c r="L65" s="11" t="inlineStr">
        <is>
          <t>AI literacy, metacognition and responsible GenAI integration</t>
        </is>
      </c>
      <c r="M65" s="11" t="inlineStr">
        <is>
          <t>No</t>
        </is>
      </c>
      <c r="N65" s="11" t="n"/>
      <c r="O65" s="11" t="inlineStr">
        <is>
          <t>Include</t>
        </is>
      </c>
      <c r="P65" s="11" t="n"/>
      <c r="Q65" s="11" t="n"/>
      <c r="R65" s="12" t="inlineStr">
        <is>
          <t>Background</t>
        </is>
      </c>
      <c r="S65" s="11" t="n"/>
      <c r="T65" s="11" t="n"/>
      <c r="U65" s="11" t="inlineStr">
        <is>
          <t>Source-list summary (not verified against full text): Discusses how GenAI may change teaching, learning and assessment. Provides broad background for educational reform.</t>
        </is>
      </c>
      <c r="V65" s="11" t="n"/>
      <c r="W65"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65" s="20">
        <f>IF(G65="","",IF(F65="","",IF(AND(F65&gt;=2022,F65&lt;=2024),"Review 2026 applicability","")))</f>
        <v/>
      </c>
      <c r="AE65" s="20" t="n"/>
      <c r="AF65" s="20">
        <f>IF(G65="","",IF(I65="","",IF(COUNTIF($I$2:$I$100,I65)&gt;1,"Check duplicate","")))</f>
        <v/>
      </c>
      <c r="AG65" s="20">
        <f>IF(G65="","",IF(M65="Yes","Duplicate",IF(OR(R65="",R65="Pending"),"Review pending","")))</f>
        <v/>
      </c>
      <c r="AL65" t="inlineStr">
        <is>
          <t>R96</t>
        </is>
      </c>
      <c r="AO65" s="20" t="n"/>
      <c r="AP65" s="20" t="n"/>
      <c r="AQ65" s="20" t="n"/>
      <c r="AR65" s="20" t="n"/>
      <c r="AS65" s="20" t="n"/>
      <c r="AT65" s="20" t="n"/>
      <c r="AU65" s="20" t="n"/>
      <c r="AV65" s="20" t="n"/>
      <c r="AW65" s="20" t="n"/>
      <c r="AX65" s="20" t="inlineStr">
        <is>
          <t>Background, outside main synthesis</t>
        </is>
      </c>
      <c r="AY65" s="20" t="inlineStr">
        <is>
          <t>Tighter relevance screen of supplied title, context and summary; not a new full-text assessment.</t>
        </is>
      </c>
      <c r="AZ65" s="20" t="inlineStr">
        <is>
          <t>Broad AI, learning, literacy or policy context, or insufficient direct assessment-design evidence in the supplied summary; retain for background only.</t>
        </is>
      </c>
      <c r="BA65" s="20" t="inlineStr">
        <is>
          <t>Not independently checked against original full text.</t>
        </is>
      </c>
    </row>
    <row r="66" ht="110.1" customHeight="1">
      <c r="A66" s="11" t="inlineStr">
        <is>
          <t>R65</t>
        </is>
      </c>
      <c r="B66" s="11" t="inlineStr">
        <is>
          <t>14/10/2026</t>
        </is>
      </c>
      <c r="C66" s="11" t="inlineStr">
        <is>
          <t>User paper list, item 50</t>
        </is>
      </c>
      <c r="D66" s="23" t="inlineStr">
        <is>
          <t>ChatGPT in the higher education: A systematic literature review and research challenges Original file: Relevant Papers 2022-26(1).docx</t>
        </is>
      </c>
      <c r="E66" s="11" t="n"/>
      <c r="F66" s="11" t="n">
        <v>2024</v>
      </c>
      <c r="G66" s="11" t="inlineStr">
        <is>
          <t>ChatGPT in the higher education: A systematic literature review and research challenges</t>
        </is>
      </c>
      <c r="H66" s="11" t="n"/>
      <c r="I66" s="11" t="inlineStr">
        <is>
          <t>https://doi.org/10.1016/j.ijer.2024.102411</t>
        </is>
      </c>
      <c r="J66" s="11" t="inlineStr">
        <is>
          <t>Journal article (source list; verify)</t>
        </is>
      </c>
      <c r="K66" s="11" t="n"/>
      <c r="L66" s="11" t="inlineStr">
        <is>
          <t>AI literacy, metacognition and responsible GenAI integration</t>
        </is>
      </c>
      <c r="M66" s="11" t="inlineStr">
        <is>
          <t>No</t>
        </is>
      </c>
      <c r="N66" s="11" t="n"/>
      <c r="O66" s="11" t="inlineStr">
        <is>
          <t>Include</t>
        </is>
      </c>
      <c r="P66" s="11" t="n"/>
      <c r="Q66" s="11" t="n"/>
      <c r="R66" s="12" t="inlineStr">
        <is>
          <t>Background</t>
        </is>
      </c>
      <c r="S66" s="11" t="n"/>
      <c r="T66" s="11" t="n"/>
      <c r="U66" s="11" t="inlineStr">
        <is>
          <t>Source-list summary (not verified against full text): Synthesises higher education research on ChatGPT and outstanding challenges. Helps situate the project within wider GenAI education research.</t>
        </is>
      </c>
      <c r="V66" s="11" t="n"/>
      <c r="W66" s="11" t="inlineStr">
        <is>
          <t>Imported from supplied paper list. Verify author(s), journal, year and DOI; retrieve full text, screen and extract supporting pages. No full-text review completed.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66" s="20">
        <f>IF(G66="","",IF(F66="","",IF(AND(F66&gt;=2022,F66&lt;=2024),"Review 2026 applicability","")))</f>
        <v/>
      </c>
      <c r="AE66" s="20" t="n"/>
      <c r="AF66" s="20">
        <f>IF(G66="","",IF(I66="","",IF(COUNTIF($I$2:$I$100,I66)&gt;1,"Check duplicate","")))</f>
        <v/>
      </c>
      <c r="AG66" s="20">
        <f>IF(G66="","",IF(M66="Yes","Duplicate",IF(OR(R66="",R66="Pending"),"Review pending","")))</f>
        <v/>
      </c>
      <c r="AL66" t="inlineStr">
        <is>
          <t>R96</t>
        </is>
      </c>
      <c r="AO66" s="20" t="n"/>
      <c r="AP66" s="20" t="n"/>
      <c r="AQ66" s="20" t="n"/>
      <c r="AR66" s="20" t="n"/>
      <c r="AS66" s="20" t="n"/>
      <c r="AT66" s="20" t="n"/>
      <c r="AU66" s="20" t="n"/>
      <c r="AV66" s="20" t="n"/>
      <c r="AW66" s="20" t="n"/>
      <c r="AX66" s="20" t="inlineStr">
        <is>
          <t>Background, outside main synthesis</t>
        </is>
      </c>
      <c r="AY66" s="20" t="inlineStr">
        <is>
          <t>Tighter relevance screen of supplied title, context and summary; not a new full-text assessment.</t>
        </is>
      </c>
      <c r="AZ66" s="20" t="inlineStr">
        <is>
          <t>Secondary synthesis or broad review; retain to frame or locate primary studies, outside the direct assessment-study synthesis.</t>
        </is>
      </c>
      <c r="BA66" s="20" t="inlineStr">
        <is>
          <t>Not independently checked against original full text.</t>
        </is>
      </c>
    </row>
    <row r="67" ht="60" customHeight="1">
      <c r="A67" s="11" t="inlineStr">
        <is>
          <t>R66</t>
        </is>
      </c>
      <c r="B67" s="11" t="inlineStr">
        <is>
          <t>14/10/2026</t>
        </is>
      </c>
      <c r="C67" s="11" t="inlineStr">
        <is>
          <t>tables.docx, entry 3</t>
        </is>
      </c>
      <c r="D67" s="23" t="inlineStr">
        <is>
          <t>The Role of Artificial Intelligence in Computer Science Education: A Systematic Review with a Focus on Database Instruction
Source file: tables.docx</t>
        </is>
      </c>
      <c r="E67" s="11" t="inlineStr">
        <is>
          <t>Gaitantzi &amp; Kazanidis</t>
        </is>
      </c>
      <c r="F67" s="11" t="n">
        <v>2025</v>
      </c>
      <c r="G67" s="11" t="inlineStr">
        <is>
          <t>The Role of Artificial Intelligence in Computer Science Education: A Systematic Review with a Focus on Database Instruction</t>
        </is>
      </c>
      <c r="H67" s="11" t="inlineStr">
        <is>
          <t>Applied Sciences, Volume 15, Issue 7, Article 3960</t>
        </is>
      </c>
      <c r="I67" s="11" t="inlineStr">
        <is>
          <t>https://www.mdpi.com/3255354</t>
        </is>
      </c>
      <c r="J67" s="11" t="inlineStr">
        <is>
          <t>Journal article</t>
        </is>
      </c>
      <c r="K67" s="11" t="inlineStr">
        <is>
          <t>PRISMA-based systematic literature review of 31 empirical studies published between 2020 and 2025.</t>
        </is>
      </c>
      <c r="L67" s="11" t="inlineStr">
        <is>
          <t>Useful for connecting assessment recommendations to database education and computer science learning outcomes. Discipline: Computer Science and Database Education.</t>
        </is>
      </c>
      <c r="M67" s="11" t="inlineStr">
        <is>
          <t>No</t>
        </is>
      </c>
      <c r="N67" s="11" t="n"/>
      <c r="O67" s="11" t="inlineStr">
        <is>
          <t>Include</t>
        </is>
      </c>
      <c r="P67" s="11" t="n"/>
      <c r="Q67" s="11" t="n"/>
      <c r="R67" s="12" t="inlineStr">
        <is>
          <t>Background</t>
        </is>
      </c>
      <c r="S67" s="11" t="inlineStr">
        <is>
          <t>High</t>
        </is>
      </c>
      <c r="T67" s="11" t="n"/>
      <c r="U67" s="11" t="inlineStr">
        <is>
          <t>Extraction supplied in tables.docx (not independently verified): AI chatbots, intelligent tutoring systems and code generators can support personalized learning, immediate feedback and problem-solving. Risks include inaccurate outputs, student dependence and academic integrity concerns.</t>
        </is>
      </c>
      <c r="V67" s="11" t="n"/>
      <c r="W67" s="11" t="inlineStr">
        <is>
          <t>Detailed extraction imported from tables.docx. Source recommendation retained separately; verify against full text before final screening. 
Also listed in tables.pdf, entry 3. Existing extraction retained.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67" s="20">
        <f>IF(G67="","",IF(F67="","",IF(AND(F67&gt;=2022,F67&lt;=2024),"Review 2026 applicability","")))</f>
        <v/>
      </c>
      <c r="AE67" s="20">
        <f>IF(G67="","",IF(OR(E67="",F67="",I67="",V67=""),"Missing author/year/link/screener",""))</f>
        <v/>
      </c>
      <c r="AF67" s="20">
        <f>IF(G67="","",IF(I67="","",IF(COUNTIF($I$2:$I$100,I67)&gt;1,"Check duplicate","")))</f>
        <v/>
      </c>
      <c r="AG67" s="20">
        <f>IF(G67="","",IF(M67="Yes","Duplicate",IF(OR(R67="",R67="Pending"),"Review pending","")))</f>
        <v/>
      </c>
      <c r="AL67" t="inlineStr">
        <is>
          <t>R96</t>
        </is>
      </c>
      <c r="AO67" s="20" t="inlineStr">
        <is>
          <t>Examines AI integration into computer science teaching, especially database instruction. Assessment-related applications are discussed, but the paper does not directly evaluate one of the eight assessment strategies.</t>
        </is>
      </c>
      <c r="AP67" s="20" t="inlineStr">
        <is>
          <t>AI-assisted formative assessment and feedback alongside tasks that require independent database problem-solving and reasoning.</t>
        </is>
      </c>
      <c r="AQ67" s="20" t="inlineStr">
        <is>
          <t>Mixed, GenAI, ChatGPT and other AI educational systems.</t>
        </is>
      </c>
      <c r="AR67" s="20" t="inlineStr">
        <is>
          <t>Useful for connecting assessment recommendations to database education and computer science learning outcomes. Discipline: Computer Science and Database Education.</t>
        </is>
      </c>
      <c r="AS67" s="20" t="inlineStr">
        <is>
          <t>Database-specific evidence is limited, and the review focuses primarily on teaching and learning rather than comparing assessment security strategies.</t>
        </is>
      </c>
      <c r="AT67" s="20" t="inlineStr">
        <is>
          <t>Include (supporting), computing-specific contextual evidence.</t>
        </is>
      </c>
      <c r="AU67" s="20" t="n"/>
      <c r="AV67" s="20" t="n"/>
      <c r="AW67" s="20" t="n"/>
      <c r="AX67" s="20" t="inlineStr">
        <is>
          <t>Background, outside main synthesis</t>
        </is>
      </c>
      <c r="AY67" s="20" t="inlineStr">
        <is>
          <t>Tighter relevance screen of supplied title, context and summary; not a new full-text assessment.</t>
        </is>
      </c>
      <c r="AZ67" s="20" t="inlineStr">
        <is>
          <t>Secondary synthesis or broad review; retain to frame or locate primary studies, outside the direct assessment-study synthesis.</t>
        </is>
      </c>
      <c r="BA67" s="20" t="inlineStr">
        <is>
          <t>Not independently checked against original full text.</t>
        </is>
      </c>
    </row>
    <row r="68" ht="60" customHeight="1">
      <c r="A68" s="11" t="inlineStr">
        <is>
          <t>R67</t>
        </is>
      </c>
      <c r="B68" s="11" t="inlineStr">
        <is>
          <t>14/10/2026</t>
        </is>
      </c>
      <c r="C68" s="11" t="inlineStr">
        <is>
          <t>tables.docx, entry 4</t>
        </is>
      </c>
      <c r="D68" s="23" t="inlineStr">
        <is>
          <t>Artificial Intelligence for Computer Science Education in Higher Education: A Systematic Review of Empirical Research Published in 2003-2023
Source file: tables.docx</t>
        </is>
      </c>
      <c r="E68" s="11" t="inlineStr">
        <is>
          <t>Zhu &amp; Zhang</t>
        </is>
      </c>
      <c r="F68" s="11" t="n">
        <v>2025</v>
      </c>
      <c r="G68" s="11" t="inlineStr">
        <is>
          <t>Artificial Intelligence for Computer Science Education in Higher Education: A Systematic Review of Empirical Research Published in 2003-2023</t>
        </is>
      </c>
      <c r="H68" s="11" t="inlineStr">
        <is>
          <t>Technology, Knowledge and Learning, Volume 30, pp. 2417-2441</t>
        </is>
      </c>
      <c r="I68" s="11" t="inlineStr">
        <is>
          <t>https://doi.org/10.1007/s10758-025-09859-1</t>
        </is>
      </c>
      <c r="J68" s="11" t="inlineStr">
        <is>
          <t>Journal article</t>
        </is>
      </c>
      <c r="K68" s="11" t="inlineStr">
        <is>
          <t>Systematic review of 20 empirical studies from 2003-2023, using bibliometric analysis, content analysis and categorical trend analysis.</t>
        </is>
      </c>
      <c r="L68" s="11" t="inlineStr">
        <is>
          <t>Strong disciplinary match. Also useful as a methodological reference for searching ACM Digital Library, IEEE Xplore and Web of Science. Discipline: University Computer Science Education.</t>
        </is>
      </c>
      <c r="M68" s="11" t="inlineStr">
        <is>
          <t>No</t>
        </is>
      </c>
      <c r="N68" s="11" t="n"/>
      <c r="O68" s="11" t="inlineStr">
        <is>
          <t>Include</t>
        </is>
      </c>
      <c r="P68" s="11" t="n"/>
      <c r="Q68" s="11" t="n"/>
      <c r="R68" s="12" t="inlineStr">
        <is>
          <t>Background</t>
        </is>
      </c>
      <c r="S68" s="11" t="inlineStr">
        <is>
          <t>Medium</t>
        </is>
      </c>
      <c r="T68" s="11" t="n"/>
      <c r="U68" s="11" t="inlineStr">
        <is>
          <t>Extraction supplied in tables.docx (not independently verified): Identifies applications and potential educational benefits of AI in computer science, along with practical implementation issues, research gaps and equity considerations.</t>
        </is>
      </c>
      <c r="V68" s="11" t="n"/>
      <c r="W68" s="11" t="inlineStr">
        <is>
          <t>Detailed extraction imported from tables.docx. Source recommendation retained separately; verify against full text before final screening. 
Also listed in tables.pdf, entry 4. Existing extraction retained.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68" s="20">
        <f>IF(G68="","",IF(F68="","",IF(AND(F68&gt;=2022,F68&lt;=2024),"Review 2026 applicability","")))</f>
        <v/>
      </c>
      <c r="AE68" s="20">
        <f>IF(G68="","",IF(OR(E68="",F68="",I68="",V68=""),"Missing author/year/link/screener",""))</f>
        <v/>
      </c>
      <c r="AF68" s="20">
        <f>IF(G68="","",IF(I68="","",IF(COUNTIF($I$2:$I$100,I68)&gt;1,"Check duplicate","")))</f>
        <v/>
      </c>
      <c r="AG68" s="20">
        <f>IF(G68="","",IF(M68="Yes","Duplicate",IF(OR(R68="",R68="Pending"),"Review pending","")))</f>
        <v/>
      </c>
      <c r="AL68" t="inlineStr">
        <is>
          <t>R96</t>
        </is>
      </c>
      <c r="AO68" s="20" t="inlineStr">
        <is>
          <t>Reviews the applications, benefits and challenges of AI in university computer science education. Provides background for programming and unsupervised learning assessments, but does not directly evaluate the eight assessment categories.</t>
        </is>
      </c>
      <c r="AP68" s="20" t="inlineStr">
        <is>
          <t>Evidence-informed AI integration, formative assessment and feedback, with assessment tasks aligned to computing learning outcomes.</t>
        </is>
      </c>
      <c r="AQ68" s="20" t="inlineStr">
        <is>
          <t>Mostly broader AI technologies, with limited modern GenAI-specific evidence because of the review period.</t>
        </is>
      </c>
      <c r="AR68" s="20" t="inlineStr">
        <is>
          <t>Strong disciplinary match. Also useful as a methodological reference for searching ACM Digital Library, IEEE Xplore and Web of Science. Discipline: University Computer Science Education.</t>
        </is>
      </c>
      <c r="AS68" s="20" t="inlineStr">
        <is>
          <t>Small evidence base of 20 studies, broad AI focus and limited post-2022 GenAI research.</t>
        </is>
      </c>
      <c r="AT68" s="20" t="inlineStr">
        <is>
          <t>Include (supporting), particularly for research background and methodology.</t>
        </is>
      </c>
      <c r="AU68" s="20" t="n"/>
      <c r="AV68" s="20" t="n"/>
      <c r="AW68" s="20" t="n"/>
      <c r="AX68" s="20" t="inlineStr">
        <is>
          <t>Background, outside main synthesis</t>
        </is>
      </c>
      <c r="AY68" s="20" t="inlineStr">
        <is>
          <t>Tighter relevance screen of supplied title, context and summary; not a new full-text assessment.</t>
        </is>
      </c>
      <c r="AZ68" s="20" t="inlineStr">
        <is>
          <t>Secondary synthesis or broad review; retain to frame or locate primary studies, outside the direct assessment-study synthesis.</t>
        </is>
      </c>
      <c r="BA68" s="20" t="inlineStr">
        <is>
          <t>Not independently checked against original full text.</t>
        </is>
      </c>
    </row>
    <row r="69" ht="60" customHeight="1">
      <c r="A69" s="11" t="inlineStr">
        <is>
          <t>R68</t>
        </is>
      </c>
      <c r="B69" s="11" t="inlineStr">
        <is>
          <t>14/10/2026</t>
        </is>
      </c>
      <c r="C69" s="11" t="inlineStr">
        <is>
          <t>tables.docx, entry 5</t>
        </is>
      </c>
      <c r="D69" s="23" t="inlineStr">
        <is>
          <t>Assessment Reform for the Age of Artificial Intelligence
Source file: tables.docx</t>
        </is>
      </c>
      <c r="E69" s="11" t="inlineStr">
        <is>
          <t>Lodge, Howard, Bearman, Dawson and collaborators</t>
        </is>
      </c>
      <c r="F69" s="11" t="n">
        <v>2023</v>
      </c>
      <c r="G69" s="11" t="inlineStr">
        <is>
          <t>Assessment Reform for the Age of Artificial Intelligence</t>
        </is>
      </c>
      <c r="H69" s="11" t="inlineStr">
        <is>
          <t>Not a journal article. Expert guidance report commissioned by Australia's Tertiary Education Quality and Standards Agency (TEQSA).</t>
        </is>
      </c>
      <c r="I69" s="11" t="n"/>
      <c r="J69" s="11" t="inlineStr">
        <is>
          <t>Guidance report</t>
        </is>
      </c>
      <c r="K69" s="11" t="inlineStr">
        <is>
          <t>Expert collaborative guidance document informed by research, theory and educational practice. Not a primary empirical study or systematic review.</t>
        </is>
      </c>
      <c r="L69" s="11" t="inlineStr">
        <is>
          <t>Highly relevant to the project's conceptual framework and Australian university context. Discipline: Cross-disciplinary Higher Education, applicable to Computing/IT.</t>
        </is>
      </c>
      <c r="M69" s="11" t="inlineStr">
        <is>
          <t>No</t>
        </is>
      </c>
      <c r="N69" s="11" t="n"/>
      <c r="O69" s="11" t="inlineStr">
        <is>
          <t>Include</t>
        </is>
      </c>
      <c r="P69" s="11" t="n"/>
      <c r="Q69" s="11" t="n"/>
      <c r="R69" s="12" t="inlineStr">
        <is>
          <t>Background</t>
        </is>
      </c>
      <c r="S69" s="11" t="inlineStr">
        <is>
          <t>High</t>
        </is>
      </c>
      <c r="T69" s="11" t="n"/>
      <c r="U69" s="11" t="inlineStr">
        <is>
          <t>Extraction supplied in tables.docx (not independently verified): Traditional assessment approaches face increased challenges from GenAI. Reliable detection of AI-generated work is difficult, and assessment reform requires coordinated, context-sensitive design rather than a single universal solution.</t>
        </is>
      </c>
      <c r="V69" s="11" t="n"/>
      <c r="W69" s="11" t="inlineStr">
        <is>
          <t>Detailed extraction imported from tables.docx. Source recommendation retained separately; verify against full text before final screening. 
Also listed in tables.pdf, entry 5. Existing extraction retained.
16/10/2026 relevance decision: Include. TEQSA assessment-reform guidance supports Australian policy framing; not a primary empirical assessment study.
Revised strict-scope decision: Background only. Broad AI, learning, literacy or policy context, or insufficient direct assessment-design evidence in the supplied summary; retain for background only.</t>
        </is>
      </c>
      <c r="AD69" s="20">
        <f>IF(G69="","",IF(F69="","",IF(AND(F69&gt;=2022,F69&lt;=2024),"Review 2026 applicability","")))</f>
        <v/>
      </c>
      <c r="AE69" s="20">
        <f>IF(G69="","",IF(OR(E69="",F69="",I69="",V69=""),"Missing author/year/link/screener",""))</f>
        <v/>
      </c>
      <c r="AF69" s="20">
        <f>IF(G69="","",IF(I69="","",IF(COUNTIF($I$2:$I$100,I69)&gt;1,"Check duplicate","")))</f>
        <v/>
      </c>
      <c r="AG69" s="20">
        <f>IF(G69="","",IF(M69="Yes","Duplicate",IF(OR(R69="",R69="Pending"),"Review pending","")))</f>
        <v/>
      </c>
      <c r="AL69" t="inlineStr">
        <is>
          <t>R96</t>
        </is>
      </c>
      <c r="AO69" s="20" t="inlineStr">
        <is>
          <t>Discusses the need to reform higher-education assessment in response to GenAI, including maintaining confidence in students' learning. Relevant across supervised, unsupervised, authentic and secure assessment design, rather than empirically testing a single category.</t>
        </is>
      </c>
      <c r="AP69" s="20" t="inlineStr">
        <is>
          <t>Programme-level assessment redesign, combining opportunities for authentic learning with assessment tasks that provide trustworthy evidence of individual achievement.</t>
        </is>
      </c>
      <c r="AQ69" s="20" t="inlineStr">
        <is>
          <t>Direct, GenAI's implications for higher-education assessment.</t>
        </is>
      </c>
      <c r="AR69" s="20" t="inlineStr">
        <is>
          <t>Highly relevant to the project's conceptual framework and Australian university context. Discipline: Cross-disciplinary Higher Education, applicable to Computing/IT.</t>
        </is>
      </c>
      <c r="AS69" s="20" t="inlineStr">
        <is>
          <t>Not computing-specific; provides expert guidance rather than direct empirical comparisons of assessment strategies.</t>
        </is>
      </c>
      <c r="AT69" s="20" t="inlineStr">
        <is>
          <t>Include (core guidance), use for conceptual and policy framing, not as a primary empirical study.</t>
        </is>
      </c>
      <c r="AU69" s="20" t="n"/>
      <c r="AV69" s="20" t="n"/>
      <c r="AW69" s="20" t="n"/>
      <c r="AX69" s="20" t="inlineStr">
        <is>
          <t>Background, outside main synthesis</t>
        </is>
      </c>
      <c r="AY69" s="20" t="inlineStr">
        <is>
          <t>Tighter relevance screen of supplied title, context and summary; not a new full-text assessment.</t>
        </is>
      </c>
      <c r="AZ69" s="20" t="inlineStr">
        <is>
          <t>Broad AI, learning, literacy or policy context, or insufficient direct assessment-design evidence in the supplied summary; retain for background only.</t>
        </is>
      </c>
      <c r="BA69" s="20" t="inlineStr">
        <is>
          <t>Not independently checked against original full text.</t>
        </is>
      </c>
    </row>
    <row r="70" ht="60" customHeight="1">
      <c r="A70" s="11" t="inlineStr">
        <is>
          <t>R69</t>
        </is>
      </c>
      <c r="B70" s="11" t="inlineStr">
        <is>
          <t>14/10/2026</t>
        </is>
      </c>
      <c r="C70" s="11" t="inlineStr">
        <is>
          <t>tables.docx, entry 6</t>
        </is>
      </c>
      <c r="D70" s="23" t="inlineStr">
        <is>
          <t>Redesigning Assessment for the AI Era: Design Principles for Data and Information Curriculum in Secondary Education
Source file: tables.docx</t>
        </is>
      </c>
      <c r="E70" s="11" t="inlineStr">
        <is>
          <t>Eyal and Ronit</t>
        </is>
      </c>
      <c r="F70" s="11" t="n">
        <v>2025</v>
      </c>
      <c r="G70" s="11" t="inlineStr">
        <is>
          <t>Redesigning Assessment for the AI Era: Design Principles for Data and Information Curriculum in Secondary Education</t>
        </is>
      </c>
      <c r="H70" s="11" t="inlineStr">
        <is>
          <t>Research Square preprint, posted 3 September 2025. Peer-reviewed journal publication not established from the uploaded version.</t>
        </is>
      </c>
      <c r="I70" s="11" t="inlineStr">
        <is>
          <t>https://www.researchgate.net/publication/395264050_Redesigning_Assessment_for_the_AI_Era_Design_Principles_for_Data_and_Information_Curriculum_in_Secondary_Education</t>
        </is>
      </c>
      <c r="J70" s="11" t="inlineStr">
        <is>
          <t>Preprint</t>
        </is>
      </c>
      <c r="K70" s="11" t="inlineStr">
        <is>
          <t>Iterative Design-Delphi study involving 31 participants, including teachers, data analysts and AI education specialists.</t>
        </is>
      </c>
      <c r="L70" s="11" t="inlineStr">
        <is>
          <t>Provides assessment-design ideas potentially transferable to computing and data science. Discipline: Secondary Education, Information and Data Curriculum.</t>
        </is>
      </c>
      <c r="M70" s="11" t="inlineStr">
        <is>
          <t>No</t>
        </is>
      </c>
      <c r="N70" s="11" t="n"/>
      <c r="O70" s="11" t="inlineStr">
        <is>
          <t>Exclude</t>
        </is>
      </c>
      <c r="P70" s="11" t="n"/>
      <c r="Q70" s="11" t="inlineStr">
        <is>
          <t>E1</t>
        </is>
      </c>
      <c r="R70" s="12" t="inlineStr">
        <is>
          <t>Exclude</t>
        </is>
      </c>
      <c r="S70" s="11" t="inlineStr">
        <is>
          <t>Medium</t>
        </is>
      </c>
      <c r="T70" s="11" t="n"/>
      <c r="U70" s="11" t="inlineStr">
        <is>
          <t>Extraction supplied in tables.docx (not independently verified): Identifies competencies such as prompt engineering, critical evaluation and AI tool selection. Produces 24 practice assessment tasks, 13 question models and a four-phase implementation framework.</t>
        </is>
      </c>
      <c r="V70" s="11" t="n"/>
      <c r="W70" s="11" t="inlineStr">
        <is>
          <t>Detailed extraction imported from tables.docx. Source recommendation retained separately; verify against full text before final screening. 
Also listed in tables.pdf, entry 6. Existing extraction retained.
16/10/2026 relevance decision: Exclude. Secondary-school setting; preprint design evidence retained for background only, outside the tertiary review sample.</t>
        </is>
      </c>
      <c r="AD70" s="20">
        <f>IF(G70="","",IF(F70="","",IF(AND(F70&gt;=2022,F70&lt;=2024),"Review 2026 applicability","")))</f>
        <v/>
      </c>
      <c r="AE70" s="20">
        <f>IF(G70="","",IF(OR(E70="",F70="",I70="",V70=""),"Missing author/year/link/screener",""))</f>
        <v/>
      </c>
      <c r="AF70" s="20">
        <f>IF(G70="","",IF(I70="","",IF(COUNTIF($I$2:$I$100,I70)&gt;1,"Check duplicate","")))</f>
        <v/>
      </c>
      <c r="AG70" s="20">
        <f>IF(G70="","",IF(M70="Yes","Duplicate",IF(OR(R70="",R70="Pending"),"Review pending","")))</f>
        <v/>
      </c>
      <c r="AL70" t="inlineStr">
        <is>
          <t>R96</t>
        </is>
      </c>
      <c r="AO70" s="20" t="inlineStr">
        <is>
          <t>Develops assessment design principles for AI-integrated data and information education. Related to personalized tasks, practical assessments and AI-integrated unsupervised tasks, although it does not directly evaluate their comparative effectiveness.</t>
        </is>
      </c>
      <c r="AP70" s="20" t="inlineStr">
        <is>
          <t>AI-compatible tasks involving ambiguous problems, critical evaluation of AI outputs, metric construction and reasoning-based activities.</t>
        </is>
      </c>
      <c r="AQ70" s="20" t="inlineStr">
        <is>
          <t>Direct, redesigning assessment for environments where GenAI tools are available.</t>
        </is>
      </c>
      <c r="AR70" s="20" t="inlineStr">
        <is>
          <t>Provides assessment-design ideas potentially transferable to computing and data science. Discipline: Secondary Education, Information and Data Curriculum.</t>
        </is>
      </c>
      <c r="AS70" s="20" t="inlineStr">
        <is>
          <t>Focuses on secondary education rather than university Computing/IT. Delphi-based design findings do not establish actual assessment effectiveness or security. Uploaded version is a preprint.</t>
        </is>
      </c>
      <c r="AT70" s="20" t="inlineStr">
        <is>
          <t>I think we should but its used on secondary level
Conditional, retain as transferable design evidence only if your protocol permits secondary-education sources. Otherwise exclude from the main review and use as background.</t>
        </is>
      </c>
      <c r="AU70" s="20" t="n"/>
      <c r="AV70" s="20" t="n"/>
      <c r="AW70" s="20" t="n"/>
      <c r="AX70" s="20" t="inlineStr">
        <is>
          <t>Background only / outside sample</t>
        </is>
      </c>
      <c r="AY70" s="20" t="inlineStr">
        <is>
          <t>Assistant relevance assessment of supplied title and summary; user authorised selection.</t>
        </is>
      </c>
      <c r="AZ70" s="20" t="inlineStr">
        <is>
          <t>Secondary-school setting; preprint design evidence retained for background only, outside the tertiary review sample.</t>
        </is>
      </c>
      <c r="BA70" s="20" t="inlineStr">
        <is>
          <t>Not independently checked against original full text.</t>
        </is>
      </c>
    </row>
    <row r="71" ht="60" customHeight="1">
      <c r="A71" s="11" t="inlineStr">
        <is>
          <t>R70</t>
        </is>
      </c>
      <c r="B71" s="11" t="inlineStr">
        <is>
          <t>14/10/2026</t>
        </is>
      </c>
      <c r="C71" s="11" t="inlineStr">
        <is>
          <t>tables.docx, entry 7</t>
        </is>
      </c>
      <c r="D71" s="23" t="inlineStr">
        <is>
          <t>Integrating Artificial Intelligence in Higher Education: Perceptions, Challenges, and Strategies for Academic Innovation
Source file: tables.docx</t>
        </is>
      </c>
      <c r="E71" s="11" t="inlineStr">
        <is>
          <t>Schmidt, Alboloushi, Thomas &amp; Magalhaes</t>
        </is>
      </c>
      <c r="F71" s="11" t="n">
        <v>2025</v>
      </c>
      <c r="G71" s="11" t="inlineStr">
        <is>
          <t>Integrating Artificial Intelligence in Higher Education: Perceptions, Challenges, and Strategies for Academic Innovation</t>
        </is>
      </c>
      <c r="H71" s="11" t="inlineStr">
        <is>
          <t>Computers and Education Open, Volume 9, Article 100274</t>
        </is>
      </c>
      <c r="I71" s="11" t="inlineStr">
        <is>
          <t>https://doi.org/10.1016/j.caeo.2025.100274</t>
        </is>
      </c>
      <c r="J71" s="11" t="inlineStr">
        <is>
          <t>Journal article</t>
        </is>
      </c>
      <c r="K71" s="11" t="inlineStr">
        <is>
          <t>Qualitative empirical research using focus-group interviews and open-ended questionnaires with higher-education participants.</t>
        </is>
      </c>
      <c r="L71" s="11" t="inlineStr">
        <is>
          <t>Helps explain institutional challenges when introducing AI into assessment. Context: Higher Education in Kuwait, not specifically Computing/IT assessment.</t>
        </is>
      </c>
      <c r="M71" s="11" t="inlineStr">
        <is>
          <t>No</t>
        </is>
      </c>
      <c r="N71" s="11" t="n"/>
      <c r="O71" s="11" t="inlineStr">
        <is>
          <t>Include</t>
        </is>
      </c>
      <c r="P71" s="11" t="n"/>
      <c r="Q71" s="11" t="n"/>
      <c r="R71" s="12" t="inlineStr">
        <is>
          <t>Background</t>
        </is>
      </c>
      <c r="S71" s="11" t="inlineStr">
        <is>
          <t>Medium</t>
        </is>
      </c>
      <c r="T71" s="11" t="n"/>
      <c r="U71" s="11" t="inlineStr">
        <is>
          <t>Extraction supplied in tables.docx (not independently verified): Faculty and students recognize AI's educational benefits but express concerns about critical thinking, integrity, accuracy and ethical use. The study highlights the need for guidance, awareness and professional development.</t>
        </is>
      </c>
      <c r="V71" s="11" t="n"/>
      <c r="W71" s="11" t="inlineStr">
        <is>
          <t>Detailed extraction imported from tables.docx. Source recommendation retained separately; verify against full text before final screening. 
Also listed in tables.pdf, entry 7. Existing extraction retained.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71" s="20">
        <f>IF(G71="","",IF(F71="","",IF(AND(F71&gt;=2022,F71&lt;=2024),"Review 2026 applicability","")))</f>
        <v/>
      </c>
      <c r="AE71" s="20">
        <f>IF(G71="","",IF(OR(E71="",F71="",I71="",V71=""),"Missing author/year/link/screener",""))</f>
        <v/>
      </c>
      <c r="AF71" s="20">
        <f>IF(G71="","",IF(I71="","",IF(COUNTIF($I$2:$I$100,I71)&gt;1,"Check duplicate","")))</f>
        <v/>
      </c>
      <c r="AG71" s="20">
        <f>IF(G71="","",IF(M71="Yes","Duplicate",IF(OR(R71="",R71="Pending"),"Review pending","")))</f>
        <v/>
      </c>
      <c r="AL71" t="inlineStr">
        <is>
          <t>R96</t>
        </is>
      </c>
      <c r="AO71" s="20" t="inlineStr">
        <is>
          <t>Investigates how AI is integrated into higher education and how students and faculty perceive its benefits, risks and challenges. Relevant to AI-use declarations and unsupervised assessment as background, but does not directly evaluate either strategy.</t>
        </is>
      </c>
      <c r="AP71" s="20" t="inlineStr">
        <is>
          <t>Clear AI-use guidance, responsible AI integration, academic integrity policies and appropriate AI-supported assessment practices.</t>
        </is>
      </c>
      <c r="AQ71" s="20" t="inlineStr">
        <is>
          <t>Direct and broader AI context, includes generative AI and other AI applications in education.</t>
        </is>
      </c>
      <c r="AR71" s="20" t="inlineStr">
        <is>
          <t>Helps explain institutional challenges when introducing AI into assessment. Context: Higher Education in Kuwait, not specifically Computing/IT assessment.</t>
        </is>
      </c>
      <c r="AS71" s="20" t="inlineStr">
        <is>
          <t>Context-specific qualitative findings; does not directly compare the effectiveness of the eight assessment approaches. Limited generalizability to Australian computing programmes.</t>
        </is>
      </c>
      <c r="AT71" s="20" t="inlineStr">
        <is>
          <t>Include (supporting), useful for institutional context and AI policy discussions.</t>
        </is>
      </c>
      <c r="AU71" s="20" t="n"/>
      <c r="AV71" s="20" t="n"/>
      <c r="AW71" s="20" t="n"/>
      <c r="AX71" s="20" t="inlineStr">
        <is>
          <t>Background, outside main synthesis</t>
        </is>
      </c>
      <c r="AY71" s="20" t="inlineStr">
        <is>
          <t>Tighter relevance screen of supplied title, context and summary; not a new full-text assessment.</t>
        </is>
      </c>
      <c r="AZ71" s="20" t="inlineStr">
        <is>
          <t>Broad AI, learning, literacy or policy context, or insufficient direct assessment-design evidence in the supplied summary; retain for background only.</t>
        </is>
      </c>
      <c r="BA71" s="20" t="inlineStr">
        <is>
          <t>Not independently checked against original full text.</t>
        </is>
      </c>
    </row>
    <row r="72" ht="60" customHeight="1">
      <c r="A72" s="11" t="inlineStr">
        <is>
          <t>R71</t>
        </is>
      </c>
      <c r="B72" s="11" t="inlineStr">
        <is>
          <t>14/10/2026</t>
        </is>
      </c>
      <c r="C72" s="11" t="inlineStr">
        <is>
          <t>tables.docx, entry 8</t>
        </is>
      </c>
      <c r="D72" s="23" t="inlineStr">
        <is>
          <t>Educational Effects of Animated Output and Application-Specific Commands in Programming Classes in the Age of Generative AI
Source file: tables.docx</t>
        </is>
      </c>
      <c r="E72" s="11" t="inlineStr">
        <is>
          <t>Kazunari Ito</t>
        </is>
      </c>
      <c r="F72" s="11" t="n">
        <v>2026</v>
      </c>
      <c r="G72" s="11" t="inlineStr">
        <is>
          <t>Educational Effects of Animated Output and Application-Specific Commands in Programming Classes in the Age of Generative AI</t>
        </is>
      </c>
      <c r="H72" s="11" t="inlineStr">
        <is>
          <t>IEEE, 2026 14th International Conference on Information and Education Technology (ICIET). Peer-reviewed conference proceedings.</t>
        </is>
      </c>
      <c r="I72" s="11" t="inlineStr">
        <is>
          <t>https://doi.org/10.1109/ICIET69664.2026.11561661</t>
        </is>
      </c>
      <c r="J72" s="11" t="inlineStr">
        <is>
          <t>Conference paper</t>
        </is>
      </c>
      <c r="K72" s="11" t="inlineStr">
        <is>
          <t>Exploratory single-group case study involving 44 third- and fourth-year undergraduate students at Aoyama Gakuin University, Japan. Conducted over 11 weeks in 2025. Mixed-method questionnaire with 5-point Likert-scale responses and open-ended qualitative feedback. No control group.</t>
        </is>
      </c>
      <c r="L72" s="11" t="inlineStr">
        <is>
          <t>Directly addresses authenticity and assessment security in AI-rich programming education. It offers an assessment-design approach that may encourage independent reasoning, debugging and verification. Context: Undergraduate programming education within an interdisciplinary Social Informatics course, using Python, JavaScript and other programming environments.</t>
        </is>
      </c>
      <c r="M72" s="11" t="inlineStr">
        <is>
          <t>No</t>
        </is>
      </c>
      <c r="N72" s="11" t="n"/>
      <c r="O72" s="11" t="inlineStr">
        <is>
          <t>Include</t>
        </is>
      </c>
      <c r="P72" s="11" t="n"/>
      <c r="Q72" s="11" t="n"/>
      <c r="R72" s="12" t="inlineStr">
        <is>
          <t>Include</t>
        </is>
      </c>
      <c r="S72" s="11" t="inlineStr">
        <is>
          <t>High</t>
        </is>
      </c>
      <c r="T72" s="11" t="n"/>
      <c r="U72" s="11" t="inlineStr">
        <is>
          <t>Extraction supplied in tables.docx (not independently verified): 95% of students had attempted to generate complete code using GenAI. Students strongly agreed that AI-generated code required modification (mean 4.52/5) and that custom commands discouraged copy-and-paste submissions (mean 4.57/5). Students also reported deeper thinking (4.39/5) and improved debugging ability (4.18/5). These are perceived outcomes, not independently measured learning gains.</t>
        </is>
      </c>
      <c r="V72" s="11" t="n"/>
      <c r="W72" s="11" t="inlineStr">
        <is>
          <t>Detailed extraction imported from tables.docx. Source recommendation retained separately; verify against full text before final screening. 
Also listed in tables.pdf, entry 8. Existing extraction retained.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72" s="20">
        <f>IF(G72="","",IF(F72="","",IF(AND(F72&gt;=2022,F72&lt;=2024),"Review 2026 applicability","")))</f>
        <v/>
      </c>
      <c r="AE72" s="20">
        <f>IF(G72="","",IF(OR(E72="",F72="",I72="",V72=""),"Missing author/year/link/screener",""))</f>
        <v/>
      </c>
      <c r="AF72" s="20">
        <f>IF(G72="","",IF(I72="","",IF(COUNTIF($I$2:$I$100,I72)&gt;1,"Check duplicate","")))</f>
        <v/>
      </c>
      <c r="AG72" s="20">
        <f>IF(G72="","",IF(M72="Yes","Duplicate",IF(OR(R72="",R72="Pending"),"Review pending","")))</f>
        <v/>
      </c>
      <c r="AL72" t="inlineStr">
        <is>
          <t>R96</t>
        </is>
      </c>
      <c r="AO72" s="20" t="inlineStr">
        <is>
          <t>Evaluates whether programming assignments using custom commands and animated outputs can discourage students from directly copying AI-generated code and encourage independent problem-solving. Primary category: Unsupervised assessment. Secondary: Personalized/context-specific tasks and practical programming assignments.</t>
        </is>
      </c>
      <c r="AP72" s="20" t="inlineStr">
        <is>
          <t>Design programming assignments using application-specific commands, unfamiliar APIs, custom programming environments and visual outputs. Students must understand, test and debug their solutions instead of relying entirely on AI-generated code.</t>
        </is>
      </c>
      <c r="AQ72" s="20" t="inlineStr">
        <is>
          <t>Direct, students were permitted to use GenAI tools such as ChatGPT, but unfamiliar application-specific commands made generated solutions less immediately usable.</t>
        </is>
      </c>
      <c r="AR72" s="20" t="inlineStr">
        <is>
          <t>Directly addresses authenticity and assessment security in AI-rich programming education. It offers an assessment-design approach that may encourage independent reasoning, debugging and verification. Context: Undergraduate programming education within an interdisciplinary Social Informatics course, using Python, JavaScript and other programming environments.</t>
        </is>
      </c>
      <c r="AS72" s="20" t="inlineStr">
        <is>
          <t>Small sample (44 students), single university, no control group, reliance on self-reported perceptions, and no objective comparison of learning gains. Its resistance to GenAI may also decrease as AI tools improve or gain access to custom API documentation.</t>
        </is>
      </c>
      <c r="AT72" s="20" t="inlineStr">
        <is>
          <t>Include, relevant to AI-resistant unsupervised programming assessment and practical task design.</t>
        </is>
      </c>
      <c r="AU72" s="20" t="n"/>
      <c r="AV72" s="20" t="n"/>
      <c r="AW72" s="20" t="n"/>
      <c r="AX72" s="20" t="inlineStr">
        <is>
          <t>Main synthesis, assessment evidence</t>
        </is>
      </c>
      <c r="AY72" s="20" t="inlineStr">
        <is>
          <t>Tighter relevance screen of supplied title, context and summary; not a new full-text assessment.</t>
        </is>
      </c>
      <c r="AZ72" s="20" t="inlineStr">
        <is>
          <t>Direct higher-education Computing/IT evidence on assessment design, assessment security, integrity or verification of individual understanding.</t>
        </is>
      </c>
      <c r="BA72" s="20" t="inlineStr">
        <is>
          <t>Not independently checked against original full text.</t>
        </is>
      </c>
    </row>
    <row r="73" ht="60" customHeight="1">
      <c r="A73" s="11" t="inlineStr">
        <is>
          <t>R72</t>
        </is>
      </c>
      <c r="B73" s="11" t="inlineStr">
        <is>
          <t>14/10/2026</t>
        </is>
      </c>
      <c r="C73" s="11" t="inlineStr">
        <is>
          <t>tables.docx, entry 9</t>
        </is>
      </c>
      <c r="D73" s="23" t="inlineStr">
        <is>
          <t>Work in Progress: Integration of AI Tools on an Open-ended Computer Programming Project
Source file: tables.docx</t>
        </is>
      </c>
      <c r="E73" s="11" t="inlineStr">
        <is>
          <t>Emily Hammond &amp; Courtney Faber</t>
        </is>
      </c>
      <c r="F73" s="11" t="n">
        <v>2024</v>
      </c>
      <c r="G73" s="11" t="inlineStr">
        <is>
          <t>Work in Progress: Integration of AI Tools on an Open-ended Computer Programming Project</t>
        </is>
      </c>
      <c r="H73" s="11" t="inlineStr">
        <is>
          <t>IEEE 2024 Frontiers in Education Conference (FIE). Conference proceedings.</t>
        </is>
      </c>
      <c r="I73" s="11" t="inlineStr">
        <is>
          <t>https://doi.org/10.1109/FIE61694.2024.10892956</t>
        </is>
      </c>
      <c r="J73" s="11" t="inlineStr">
        <is>
          <t>Conference paper</t>
        </is>
      </c>
      <c r="K73" s="11" t="inlineStr">
        <is>
          <t>Work-in-progress innovative-practice paper describing one instructor's classroom implementation and reflections. It reports observations and comparisons with previous semesters, but does not present a controlled experiment or rigorous quantitative evaluation.</t>
        </is>
      </c>
      <c r="L73" s="11" t="inlineStr">
        <is>
          <t>Directly demonstrates an approach to authentic assessment in AI-rich computing education: open-ended tasks, practical demonstrations and transparent AI-use documentation. Context: Undergraduate introductory C/C++ programming, primarily second-year electrical engineering students at the University at Buffalo, USA.</t>
        </is>
      </c>
      <c r="M73" s="11" t="inlineStr">
        <is>
          <t>No</t>
        </is>
      </c>
      <c r="N73" s="11" t="n"/>
      <c r="O73" s="11" t="inlineStr">
        <is>
          <t>Include</t>
        </is>
      </c>
      <c r="P73" s="11" t="n"/>
      <c r="Q73" s="11" t="n"/>
      <c r="R73" s="12" t="inlineStr">
        <is>
          <t>Background</t>
        </is>
      </c>
      <c r="S73" s="11" t="inlineStr">
        <is>
          <t>High</t>
        </is>
      </c>
      <c r="T73" s="11" t="n"/>
      <c r="U73" s="11" t="inlineStr">
        <is>
          <t>Extraction supplied in tables.docx (not independently verified): Students commonly used AI for starting projects, debugging and implementing difficult programming concepts. The instructor reported more creative and varied projects. Second-exam scores were higher than expected, but the authors explicitly state that they cannot determine whether AI use or the project caused this improvement. Students struggled to document AI use consistently.</t>
        </is>
      </c>
      <c r="V73" s="11" t="n"/>
      <c r="W73" s="11" t="inlineStr">
        <is>
          <t>Detailed extraction imported from tables.docx. Source recommendation retained separately; verify against full text before final screening. 
Also listed in tables.pdf, entry 9. Existing extraction retained.
16/10/2026 relevance decision: Include. Addresses assessment design, verification of understanding, assessment validity or integrity in AI-rich education.
Revised strict-scope decision: Background only. Engineering-course context rather than the strict Computing/IT programme scope; retain as adjacent-discipline background.</t>
        </is>
      </c>
      <c r="AD73" s="20">
        <f>IF(G73="","",IF(F73="","",IF(AND(F73&gt;=2022,F73&lt;=2024),"Review 2026 applicability","")))</f>
        <v/>
      </c>
      <c r="AE73" s="20">
        <f>IF(G73="","",IF(OR(E73="",F73="",I73="",V73=""),"Missing author/year/link/screener",""))</f>
        <v/>
      </c>
      <c r="AF73" s="20">
        <f>IF(G73="","",IF(I73="","",IF(COUNTIF($I$2:$I$100,I73)&gt;1,"Check duplicate","")))</f>
        <v/>
      </c>
      <c r="AG73" s="20">
        <f>IF(G73="","",IF(M73="Yes","Duplicate",IF(OR(R73="",R73="Pending"),"Review pending","")))</f>
        <v/>
      </c>
      <c r="AL73" t="inlineStr">
        <is>
          <t>R96</t>
        </is>
      </c>
      <c r="AO73" s="20" t="inlineStr">
        <is>
          <t>Explores integrating GenAI into an open-ended university programming project. Relevant to unsupervised assessment, practical demonstrations, process evidence and AI-use declarations.</t>
        </is>
      </c>
      <c r="AP73" s="20" t="inlineStr">
        <is>
          <t>Assign open-ended programming projects with flexible requirements. Allow students to use AI for support while requiring a working program, an 8-10-minute recorded code demonstration and documentation of AI prompts and responses.</t>
        </is>
      </c>
      <c r="AQ73" s="20" t="inlineStr">
        <is>
          <t>Direct, students could use ChatGPT and similar AI tools for the open-ended project, but not for weekly homework assignments.</t>
        </is>
      </c>
      <c r="AR73" s="20" t="inlineStr">
        <is>
          <t>Directly demonstrates an approach to authentic assessment in AI-rich computing education: open-ended tasks, practical demonstrations and transparent AI-use documentation. Context: Undergraduate introductory C/C++ programming, primarily second-year electrical engineering students at the University at Buffalo, USA.</t>
        </is>
      </c>
      <c r="AS73" s="20" t="inlineStr">
        <is>
          <t>Work-in-progress paper; small single-course implementation (typically 25-35 students); largely instructor-reported observations; no control group; different projects and exam conditions across semesters; limited evidence that the approach actually improves learning or prevents misconduct.</t>
        </is>
      </c>
      <c r="AT73" s="20" t="inlineStr">
        <is>
          <t>Include, as preliminary practice-based evidence, subject to your review's inclusion criteria for work-in-progress conference papers.</t>
        </is>
      </c>
      <c r="AU73" s="20" t="n"/>
      <c r="AV73" s="20" t="n"/>
      <c r="AW73" s="20" t="n"/>
      <c r="AX73" s="20" t="inlineStr">
        <is>
          <t>Background, outside main synthesis</t>
        </is>
      </c>
      <c r="AY73" s="20" t="inlineStr">
        <is>
          <t>Tighter relevance screen of supplied title, context and summary; not a new full-text assessment.</t>
        </is>
      </c>
      <c r="AZ73" s="20" t="inlineStr">
        <is>
          <t>Engineering-course context rather than the strict Computing/IT programme scope; retain as adjacent-discipline background.</t>
        </is>
      </c>
      <c r="BA73" s="20" t="inlineStr">
        <is>
          <t>Not independently checked against original full text.</t>
        </is>
      </c>
    </row>
    <row r="74" ht="60" customHeight="1">
      <c r="A74" s="11" t="inlineStr">
        <is>
          <t>R73</t>
        </is>
      </c>
      <c r="B74" s="11" t="inlineStr">
        <is>
          <t>14/10/2026</t>
        </is>
      </c>
      <c r="C74" s="11" t="inlineStr">
        <is>
          <t>tables.docx, entry 10</t>
        </is>
      </c>
      <c r="D74" s="23" t="inlineStr">
        <is>
          <t>Adapting to AI: Innovative Approaches for Homework in Computer Science Education
Source file: tables.docx</t>
        </is>
      </c>
      <c r="E74" s="11" t="inlineStr">
        <is>
          <t>James Anderson &amp; Schinnel Small</t>
        </is>
      </c>
      <c r="F74" s="11" t="n">
        <v>2025</v>
      </c>
      <c r="G74" s="11" t="inlineStr">
        <is>
          <t>Adapting to AI: Innovative Approaches for Homework in Computer Science Education</t>
        </is>
      </c>
      <c r="H74" s="11" t="inlineStr">
        <is>
          <t>IEEE 2025 Frontiers in Education Conference (FIE). Conference proceedings</t>
        </is>
      </c>
      <c r="I74" s="11" t="inlineStr">
        <is>
          <t>https://doi.org/10.1109/FIE63693.2025.11328265</t>
        </is>
      </c>
      <c r="J74" s="11" t="inlineStr">
        <is>
          <t>Conference paper</t>
        </is>
      </c>
      <c r="K74" s="11" t="inlineStr">
        <is>
          <t>Work-in-progress innovative-practice paper with a small illustrative comparison. The authors submitted two introductory Python programming questions to ChatGPT-4o and compared the generated solutions with instructor/textbook solutions. No student intervention or controlled evaluation is reported.</t>
        </is>
      </c>
      <c r="L74" s="11" t="inlineStr">
        <is>
          <t>Directly addresses authentic and secure assessment design in AI-rich computing education. It proposes practical approaches for making unsupervised programming homework more dependent on student understanding. Discipline: Undergraduate Computer Science, introductory Python programming.</t>
        </is>
      </c>
      <c r="M74" s="11" t="inlineStr">
        <is>
          <t>No</t>
        </is>
      </c>
      <c r="N74" s="11" t="n"/>
      <c r="O74" s="11" t="inlineStr">
        <is>
          <t>Include</t>
        </is>
      </c>
      <c r="P74" s="11" t="n"/>
      <c r="Q74" s="11" t="n"/>
      <c r="R74" s="12" t="inlineStr">
        <is>
          <t>Include</t>
        </is>
      </c>
      <c r="S74" s="11" t="inlineStr">
        <is>
          <t>High</t>
        </is>
      </c>
      <c r="T74" s="11" t="n"/>
      <c r="U74" s="11" t="inlineStr">
        <is>
          <t>Extraction supplied in tables.docx (not independently verified): ChatGPT produced functionally correct solutions to both programming problems, often using more advanced structures than expected for beginners. The authors argue that assignments involving specific course knowledge, ambiguity and open-ended decisions may make direct AI-generated solutions less suitable. These redesign recommendations were not experimentally validated.</t>
        </is>
      </c>
      <c r="V74" s="11" t="n"/>
      <c r="W74" s="11" t="inlineStr">
        <is>
          <t>Detailed extraction imported from tables.docx. Source recommendation retained separately; verify against full text before final screening. 
Also listed in tables.pdf, entry 10. Existing extraction retained.
16/10/2026 relevance decision: Include. Addresses assessment design, verification of understanding, assessment validity or integrity in AI-rich education.
Revised strict-scope decision: Include in main synthesis. Computing homework redesign and illustrative AI performance comparison; preliminary design evidence.</t>
        </is>
      </c>
      <c r="AD74" s="20">
        <f>IF(G74="","",IF(F74="","",IF(AND(F74&gt;=2022,F74&lt;=2024),"Review 2026 applicability","")))</f>
        <v/>
      </c>
      <c r="AE74" s="20">
        <f>IF(G74="","",IF(OR(E74="",F74="",I74="",V74=""),"Missing author/year/link/screener",""))</f>
        <v/>
      </c>
      <c r="AF74" s="20">
        <f>IF(G74="","",IF(I74="","",IF(COUNTIF($I$2:$I$100,I74)&gt;1,"Check duplicate","")))</f>
        <v/>
      </c>
      <c r="AG74" s="20">
        <f>IF(G74="","",IF(M74="Yes","Duplicate",IF(OR(R74="",R74="Pending"),"Review pending","")))</f>
        <v/>
      </c>
      <c r="AL74" t="inlineStr">
        <is>
          <t>R96</t>
        </is>
      </c>
      <c r="AO74" s="20" t="inlineStr">
        <is>
          <t>Investigates how GenAI can complete conventional introductory programming homework and proposes ways to redesign assignments. Primary: Unsupervised Assessment. Secondary: Personalized Tasks.</t>
        </is>
      </c>
      <c r="AP74" s="20" t="inlineStr">
        <is>
          <t>Create homework requiring course-specific knowledge, lecture-based context, open-ended requirements, ambiguity and individual student decisions. Design tasks that require students to interpret requirements and justify their choices.</t>
        </is>
      </c>
      <c r="AQ74" s="20" t="inlineStr">
        <is>
          <t>Direct, ChatGPT-4o is used to generate Python solutions. The discussion also refers to other GenAI tools.</t>
        </is>
      </c>
      <c r="AR74" s="20" t="inlineStr">
        <is>
          <t>Directly addresses authentic and secure assessment design in AI-rich computing education. It proposes practical approaches for making unsupervised programming homework more dependent on student understanding. Discipline: Undergraduate Computer Science, introductory Python programming.</t>
        </is>
      </c>
      <c r="AS74" s="20" t="inlineStr">
        <is>
          <t>Only two illustrative programming tasks; one AI model tested; no student sample; no measured learning outcomes; no evaluation of whether the proposed redesign strategies resist modern GenAI; differences in coding style cannot reliably establish AI authorship.</t>
        </is>
      </c>
      <c r="AT74" s="20" t="inlineStr">
        <is>
          <t>Include (supporting/design evidence), subject to your review protocol allowing WIP conference papers.</t>
        </is>
      </c>
      <c r="AU74" s="20" t="n"/>
      <c r="AV74" s="20" t="n"/>
      <c r="AW74" s="20" t="n"/>
      <c r="AX74" s="20" t="inlineStr">
        <is>
          <t>Main synthesis, design / preliminary evidence</t>
        </is>
      </c>
      <c r="AY74" s="20" t="inlineStr">
        <is>
          <t>Tighter relevance screen of supplied title, context and summary; not a new full-text assessment.</t>
        </is>
      </c>
      <c r="AZ74" s="20" t="inlineStr">
        <is>
          <t>Computing homework redesign and illustrative AI performance comparison; preliminary design evidence.</t>
        </is>
      </c>
      <c r="BA74" s="20" t="inlineStr">
        <is>
          <t>Not independently checked against original full text.</t>
        </is>
      </c>
    </row>
    <row r="75" ht="60" customHeight="1">
      <c r="A75" s="11" t="inlineStr">
        <is>
          <t>R74</t>
        </is>
      </c>
      <c r="B75" s="11" t="inlineStr">
        <is>
          <t>14/10/2026</t>
        </is>
      </c>
      <c r="C75" s="11" t="inlineStr">
        <is>
          <t>tables.docx, entry 11</t>
        </is>
      </c>
      <c r="D75" s="23" t="inlineStr">
        <is>
          <t>Does ChatGPT Help With Introductory Programming? An Experiment of Students Using ChatGPT in CS1
Source file: tables.docx</t>
        </is>
      </c>
      <c r="E75" s="11" t="inlineStr">
        <is>
          <t>Xue et al.</t>
        </is>
      </c>
      <c r="F75" s="11" t="n">
        <v>2024</v>
      </c>
      <c r="G75" s="11" t="inlineStr">
        <is>
          <t>Does ChatGPT Help With Introductory Programming? An Experiment of Students Using ChatGPT in CS1</t>
        </is>
      </c>
      <c r="H75" s="11" t="inlineStr">
        <is>
          <t>46th International Conference on Software Engineering: Software Engineering Education and Training (ICSE-SEET 2024), ACM/IEEE.</t>
        </is>
      </c>
      <c r="I75" s="11" t="inlineStr">
        <is>
          <t>https://doi.org/10.1145/3639474.3640076</t>
        </is>
      </c>
      <c r="J75" s="11" t="inlineStr">
        <is>
          <t>Conference paper</t>
        </is>
      </c>
      <c r="K75" s="11" t="inlineStr">
        <is>
          <t>Controlled experimental study with 56 CS1 students. Students completed UML design, Java programming and closed-book post-evaluation tasks. Data included assignment scores, approximately 65.5 hours of screen recordings from 48 students, completion times and student surveys.</t>
        </is>
      </c>
      <c r="L75" s="11" t="inlineStr">
        <is>
          <t>Direct empirical evidence from university-level introductory Computer Science (CS1). Demonstrates why completed programming assignments alone may not be sufficient evidence of independent understanding when AI assistance is available.</t>
        </is>
      </c>
      <c r="M75" s="11" t="inlineStr">
        <is>
          <t>No</t>
        </is>
      </c>
      <c r="N75" s="11" t="n"/>
      <c r="O75" s="11" t="inlineStr">
        <is>
          <t>Include</t>
        </is>
      </c>
      <c r="P75" s="11" t="n"/>
      <c r="Q75" s="11" t="n"/>
      <c r="R75" s="12" t="inlineStr">
        <is>
          <t>Background</t>
        </is>
      </c>
      <c r="S75" s="11" t="inlineStr">
        <is>
          <t>High</t>
        </is>
      </c>
      <c r="T75" s="11" t="n"/>
      <c r="U75" s="11" t="inlineStr">
        <is>
          <t>Extraction supplied in tables.docx (not independently verified): ChatGPT use showed no statistically significant improvement in programming scores or closed-book evaluation performance. Students using ChatGPT tended to consult fewer traditional educational resources. Greater reliance on ChatGPT did not guarantee better learning outcomes.</t>
        </is>
      </c>
      <c r="V75" s="11" t="n"/>
      <c r="W75" s="11" t="inlineStr">
        <is>
          <t>Detailed extraction imported from tables.docx. Source recommendation retained separately; verify against full text before final screening. 
Also listed in tables.pdf, entry 11. Existing extraction retained.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75" s="20">
        <f>IF(G75="","",IF(F75="","",IF(AND(F75&gt;=2022,F75&lt;=2024),"Review 2026 applicability","")))</f>
        <v/>
      </c>
      <c r="AE75" s="20">
        <f>IF(G75="","",IF(OR(E75="",F75="",I75="",V75=""),"Missing author/year/link/screener",""))</f>
        <v/>
      </c>
      <c r="AF75" s="20">
        <f>IF(G75="","",IF(I75="","",IF(COUNTIF($I$2:$I$100,I75)&gt;1,"Check duplicate","")))</f>
        <v/>
      </c>
      <c r="AG75" s="20">
        <f>IF(G75="","",IF(M75="Yes","Duplicate",IF(OR(R75="",R75="Pending"),"Review pending","")))</f>
        <v/>
      </c>
      <c r="AL75" t="inlineStr">
        <is>
          <t>R96</t>
        </is>
      </c>
      <c r="AO75" s="20" t="inlineStr">
        <is>
          <t>Examines the effect of ChatGPT on introductory programming students' assignment performance, independent understanding and learning behaviors. Primary: Unsupervised assessment. Secondary: Supervised/closed-book verification and process evidence.</t>
        </is>
      </c>
      <c r="AP75" s="20" t="inlineStr">
        <is>
          <t>Combine programming assignments where GenAI may be permitted with an independent closed-book evaluation to check students' understanding. Screen recordings can provide process evidence of how students completed their work.</t>
        </is>
      </c>
      <c r="AQ75" s="20" t="inlineStr">
        <is>
          <t>Direct use of ChatGPT-3.5 for UML design, Java code generation, debugging and conceptual explanations.</t>
        </is>
      </c>
      <c r="AR75" s="20" t="inlineStr">
        <is>
          <t>Direct empirical evidence from university-level introductory Computer Science (CS1). Demonstrates why completed programming assignments alone may not be sufficient evidence of independent understanding when AI assistance is available.</t>
        </is>
      </c>
      <c r="AS75" s="20" t="inlineStr">
        <is>
          <t>Small sample of 56 participants, with only 11 actually using ChatGPT. One university, short-term tasks, voluntary participation, uneven final group sizes and possible behavioral changes caused by screen recording. The study did not directly measure cheating prevention.</t>
        </is>
      </c>
      <c r="AT75" s="20" t="inlineStr">
        <is>
          <t>Include, primary empirical evidence, assuming it meets your final eligibility criteria.</t>
        </is>
      </c>
      <c r="AU75" s="20" t="n"/>
      <c r="AV75" s="20" t="n"/>
      <c r="AW75" s="20" t="n"/>
      <c r="AX75" s="20" t="inlineStr">
        <is>
          <t>Background, outside main synthesis</t>
        </is>
      </c>
      <c r="AY75" s="20" t="inlineStr">
        <is>
          <t>Tighter relevance screen of supplied title, context and summary; not a new full-text assessment.</t>
        </is>
      </c>
      <c r="AZ75" s="20" t="inlineStr">
        <is>
          <t>Broad AI, learning, literacy or policy context, or insufficient direct assessment-design evidence in the supplied summary; retain for background only.</t>
        </is>
      </c>
      <c r="BA75" s="20" t="inlineStr">
        <is>
          <t>Not independently checked against original full text.</t>
        </is>
      </c>
    </row>
    <row r="76" ht="60" customHeight="1">
      <c r="A76" s="11" t="inlineStr">
        <is>
          <t>R75</t>
        </is>
      </c>
      <c r="B76" s="11" t="inlineStr">
        <is>
          <t>14/10/2026</t>
        </is>
      </c>
      <c r="C76" s="11" t="inlineStr">
        <is>
          <t>tables.docx, entry 12</t>
        </is>
      </c>
      <c r="D76" s="23" t="inlineStr">
        <is>
          <t>Toward Human-AI Collaboration: A Recommender System to Support CS1 Instructors to Select Problems for Assignments and Exams
Source file: tables.docx</t>
        </is>
      </c>
      <c r="E76" s="11" t="inlineStr">
        <is>
          <t>Filipe Dwan Pereira et al.</t>
        </is>
      </c>
      <c r="F76" s="11" t="n">
        <v>2023</v>
      </c>
      <c r="G76" s="11" t="inlineStr">
        <is>
          <t>Toward Human-AI Collaboration: A Recommender System to Support CS1 Instructors to Select Problems for Assignments and Exams</t>
        </is>
      </c>
      <c r="H76" s="11" t="inlineStr">
        <is>
          <t>IEEE Transactions on Learning Technologies, Volume 16, Issue 3, June 2023. Peer-reviewed journal article.</t>
        </is>
      </c>
      <c r="I76" s="11" t="inlineStr">
        <is>
          <t>https://doi.org/10.1109/TLT.2022.3224121</t>
        </is>
      </c>
      <c r="J76" s="11" t="inlineStr">
        <is>
          <t>Journal article</t>
        </is>
      </c>
      <c r="K76" s="11" t="inlineStr">
        <is>
          <t>Empirical quantitative study involving programming activity data from 2,714 CS1 students and 1,026 distinct programming problems. The researchers developed an AI-based recommender using programming behavior, topic classification and similarity analysis. They evaluated recommendations against an existing method through a blind experiment involving 35 CS1 instructors.</t>
        </is>
      </c>
      <c r="L76" s="11" t="inlineStr">
        <is>
          <t>Provides computing-specific empirical evidence for designing personalized and varied programming assessments. It helps address assessment fairness, reducing opportunities for copying, maintaining equivalent difficulty and reducing instructor workload. Discipline: Undergraduate Computer Science (CS1), introductory Python programming at the Federal University of Amazonas, Brazil.</t>
        </is>
      </c>
      <c r="M76" s="11" t="inlineStr">
        <is>
          <t>No</t>
        </is>
      </c>
      <c r="N76" s="11" t="n"/>
      <c r="O76" s="11" t="inlineStr">
        <is>
          <t>Include</t>
        </is>
      </c>
      <c r="P76" s="11" t="n"/>
      <c r="Q76" s="11" t="n"/>
      <c r="R76" s="12" t="inlineStr">
        <is>
          <t>Background</t>
        </is>
      </c>
      <c r="S76" s="11" t="inlineStr">
        <is>
          <t>High</t>
        </is>
      </c>
      <c r="T76" s="11" t="n"/>
      <c r="U76" s="11" t="inlineStr">
        <is>
          <t>Extraction supplied in tables.docx (not independently verified): The proposed system achieved approximately 88% accuracy in recommending equivalent programming questions and significantly outperformed the baseline. It also produced better matches for programming topic, coding effort, expected completion time and submission success rates.</t>
        </is>
      </c>
      <c r="V76" s="11" t="n"/>
      <c r="W76" s="11" t="inlineStr">
        <is>
          <t>Detailed extraction imported from tables.docx. Source recommendation retained separately; verify against full text before final screening. 
Also listed in tables.pdf, entry 12. Existing extraction retained.
16/10/2026 relevance decision: Include. Computing assessment task selection and variation; broader AI evidence, not a direct GenAI intervention.
Revised strict-scope decision: Background only. Broad AI, learning, literacy or policy context, or insufficient direct assessment-design evidence in the supplied summary; retain for background only.</t>
        </is>
      </c>
      <c r="AD76" s="20">
        <f>IF(G76="","",IF(F76="","",IF(AND(F76&gt;=2022,F76&lt;=2024),"Review 2026 applicability","")))</f>
        <v/>
      </c>
      <c r="AE76" s="20">
        <f>IF(G76="","",IF(OR(E76="",F76="",I76="",V76=""),"Missing author/year/link/screener",""))</f>
        <v/>
      </c>
      <c r="AF76" s="20">
        <f>IF(G76="","",IF(I76="","",IF(COUNTIF($I$2:$I$100,I76)&gt;1,"Check duplicate","")))</f>
        <v/>
      </c>
      <c r="AG76" s="20">
        <f>IF(G76="","",IF(M76="Yes","Duplicate",IF(OR(R76="",R76="Pending"),"Review pending","")))</f>
        <v/>
      </c>
      <c r="AL76" t="inlineStr">
        <is>
          <t>R96</t>
        </is>
      </c>
      <c r="AO76" s="20" t="inlineStr">
        <is>
          <t>Investigates how an AI-powered recommendation system can help Computer Science instructors select equivalent programming questions for assignments and exams. Primary category: Personalized Tasks. Secondary: Unsupervised Assessment, Supervised Assessment and Process Evidence.</t>
        </is>
      </c>
      <c r="AP76" s="20" t="inlineStr">
        <is>
          <t>Use an AI-supported question recommendation system to generate different versions of programming assignments and exams. Questions should cover the same programming concepts and require comparable effort. Instructors review and approve the recommended questions to maintain fairness.</t>
        </is>
      </c>
      <c r="AQ76" s="20" t="inlineStr">
        <is>
          <t>Indirect, Not GenAI-specific. The study uses traditional AI, machine learning and natural language processing to assist instructors. It does not investigate ChatGPT, AI-generated student submissions or GenAI-related academic misconduct.</t>
        </is>
      </c>
      <c r="AR76" s="20" t="inlineStr">
        <is>
          <t>Provides computing-specific empirical evidence for designing personalized and varied programming assessments. It helps address assessment fairness, reducing opportunities for copying, maintaining equivalent difficulty and reducing instructor workload. Discipline: Undergraduate Computer Science (CS1), introductory Python programming at the Federal University of Amazonas, Brazil.</t>
        </is>
      </c>
      <c r="AS76" s="20" t="inlineStr">
        <is>
          <t>Does not directly evaluate GenAI-related cheating or academic integrity outcomes. Only 35 instructors participated in the evaluation, and each recommended problem pair was assessed by one instructor. The study did not directly test learning outcomes with students completing the recommended questions. The system also requires historical programming activity data to estimate problem difficulty.</t>
        </is>
      </c>
      <c r="AT76" s="20" t="inlineStr">
        <is>
          <t>Include (supporting empirical evidence), particularly for personalized tasks, assessment variation and fairness. If your review requires direct GenAI-related assessment evidence, retain it as background literature rather than part of the primary synthesis.</t>
        </is>
      </c>
      <c r="AU76" s="20" t="n"/>
      <c r="AV76" s="20" t="n"/>
      <c r="AW76" s="20" t="n"/>
      <c r="AX76" s="20" t="inlineStr">
        <is>
          <t>Background, outside main synthesis</t>
        </is>
      </c>
      <c r="AY76" s="20" t="inlineStr">
        <is>
          <t>Tighter relevance screen of supplied title, context and summary; not a new full-text assessment.</t>
        </is>
      </c>
      <c r="AZ76" s="20" t="inlineStr">
        <is>
          <t>Broad AI, learning, literacy or policy context, or insufficient direct assessment-design evidence in the supplied summary; retain for background only.</t>
        </is>
      </c>
      <c r="BA76" s="20" t="inlineStr">
        <is>
          <t>Not independently checked against original full text.</t>
        </is>
      </c>
    </row>
    <row r="77" ht="60" customHeight="1">
      <c r="A77" s="11" t="inlineStr">
        <is>
          <t>R76</t>
        </is>
      </c>
      <c r="B77" s="11" t="inlineStr">
        <is>
          <t>14/10/2026</t>
        </is>
      </c>
      <c r="C77" s="11" t="inlineStr">
        <is>
          <t>tables.docx, entry 13</t>
        </is>
      </c>
      <c r="D77" s="23" t="inlineStr">
        <is>
          <t>AI-Assisted Assessment: A Dual Perspective on Effective Usage Plans for Students and Teachers
Source file: tables.docx</t>
        </is>
      </c>
      <c r="E77" s="11" t="inlineStr">
        <is>
          <t>José Manuel Martins Ferreira</t>
        </is>
      </c>
      <c r="F77" s="11" t="n">
        <v>2025</v>
      </c>
      <c r="G77" s="11" t="inlineStr">
        <is>
          <t>AI-Assisted Assessment: A Dual Perspective on Effective Usage Plans for Students and Teachers</t>
        </is>
      </c>
      <c r="H77" s="11" t="inlineStr">
        <is>
          <t>IEEE Global Engineering Education Conference (EDUCON 2025). Conference proceedings</t>
        </is>
      </c>
      <c r="I77" s="11" t="inlineStr">
        <is>
          <t>https://doi.org/10.1109/EDUCON62633.2025.11016448</t>
        </is>
      </c>
      <c r="J77" s="11" t="inlineStr">
        <is>
          <t>Conference paper</t>
        </is>
      </c>
      <c r="K77" s="11" t="inlineStr">
        <is>
          <t>Empirical educational case study using a Master's-level Hardware/Software Codesign course at the University of South-Eastern Norway. The class included 30 students organized into 8 project groups. Researchers compared NotebookLM grading recommendations with teacher grades and repeated AI grading to examine consistency. A student questionnaire collected 19 responses (63% of the class).</t>
        </is>
      </c>
      <c r="L77" s="11" t="inlineStr">
        <is>
          <t>Highly relevant. It provides real-world evidence of how assessment can be conducted when students use GenAI for computing assignments. It supports research into AI-use transparency, fair grading, project-based assessment and maintaining human responsibility for evaluation. Discipline: Computer Science, Master's-level Hardware/Software Codesign, including C programming, VHDL, RISC-V-based architectures and hardware/software implementation.</t>
        </is>
      </c>
      <c r="M77" s="11" t="inlineStr">
        <is>
          <t>No</t>
        </is>
      </c>
      <c r="N77" s="11" t="n"/>
      <c r="O77" s="11" t="inlineStr">
        <is>
          <t>Include</t>
        </is>
      </c>
      <c r="P77" s="11" t="n"/>
      <c r="Q77" s="11" t="n"/>
      <c r="R77" s="12" t="inlineStr">
        <is>
          <t>Include</t>
        </is>
      </c>
      <c r="S77" s="11" t="inlineStr">
        <is>
          <t>High</t>
        </is>
      </c>
      <c r="T77" s="11" t="n"/>
      <c r="U77" s="11" t="inlineStr">
        <is>
          <t>Extraction supplied in tables.docx (not independently verified): NotebookLM generated detailed grading explanations and demonstrated consistency across repeated evaluations: 71.4% of individual criterion grades matched exactly across two runs. However, AI-generated grades sometimes differed considerably from teacher grades, partly because NotebookLM could not access all supporting materials. 68.4% of questionnaire respondents preferred AI-assisted grading over human-only grading, although satisfaction with the AI's actual grading was more limited. Transparency, fairness and human oversight were essential.</t>
        </is>
      </c>
      <c r="V77" s="11" t="n"/>
      <c r="W77" s="11" t="inlineStr">
        <is>
          <t>Detailed extraction imported from tables.docx. Source recommendation retained separately; verify against full text before final screening. 
Also listed in tables.pdf, entry 13. Existing extraction retained.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77" s="20">
        <f>IF(G77="","",IF(F77="","",IF(AND(F77&gt;=2022,F77&lt;=2024),"Review 2026 applicability","")))</f>
        <v/>
      </c>
      <c r="AE77" s="20">
        <f>IF(G77="","",IF(OR(E77="",F77="",I77="",V77=""),"Missing author/year/link/screener",""))</f>
        <v/>
      </c>
      <c r="AF77" s="20">
        <f>IF(G77="","",IF(I77="","",IF(COUNTIF($I$2:$I$100,I77)&gt;1,"Check duplicate","")))</f>
        <v/>
      </c>
      <c r="AG77" s="20">
        <f>IF(G77="","",IF(M77="Yes","Duplicate",IF(OR(R77="",R77="Pending"),"Review pending","")))</f>
        <v/>
      </c>
      <c r="AL77" t="inlineStr">
        <is>
          <t>R96</t>
        </is>
      </c>
      <c r="AO77" s="20" t="inlineStr">
        <is>
          <t>Investigates how GenAI can support students during learning and project assignments while also helping teachers evaluate student work. It examines Google NotebookLM as an AI-assisted grading tool for a Computer Science project. Assessment categories: Unsupervised Assessment, AI-use Declarations, and Staged Submissions (partial connection).</t>
        </is>
      </c>
      <c r="AP77" s="20" t="inlineStr">
        <is>
          <t>A combination of project-based assessment, explicit AI-use documentation, transparent grading rubrics, AI-generated grading recommendations and final human judgement. Students complete technical projects and explain how AI assisted their work. Teachers independently assess submissions, use NotebookLM to generate grading recommendations, consider student feedback and determine final grades.</t>
        </is>
      </c>
      <c r="AQ77" s="20" t="inlineStr">
        <is>
          <t>Directly examines GenAI in higher education. Students were provided with guidance on using ChatGPT for conceptual understanding, debugging, technical problem-solving and assignment preparation. Teachers used Google's NotebookLM to assist with assessment and grading. Students were expected to explain their AI usage in submitted work.</t>
        </is>
      </c>
      <c r="AR77" s="20" t="inlineStr">
        <is>
          <t>Highly relevant. It provides real-world evidence of how assessment can be conducted when students use GenAI for computing assignments. It supports research into AI-use transparency, fair grading, project-based assessment and maintaining human responsibility for evaluation. Discipline: Computer Science, Master's-level Hardware/Software Codesign, including C programming, VHDL, RISC-V-based architectures and hardware/software implementation.</t>
        </is>
      </c>
      <c r="AS77" s="20" t="inlineStr">
        <is>
          <t>Small sample from one university and one course. Only 19 students responded to the questionnaire. NotebookLM could not fully interpret graphical diagrams or access all submitted source files and annexes. Grading recommendations differed from teacher judgements in some cases. The study does not establish whether its approach prevents academic dishonesty or verifies individual student authorship.</t>
        </is>
      </c>
      <c r="AT77" s="20" t="inlineStr">
        <is>
          <t>Include, empirical study involving GenAI-assisted assessment, computing project assignments, student AI-use documentation, grading transparency and human oversight.</t>
        </is>
      </c>
      <c r="AU77" s="20" t="n"/>
      <c r="AV77" s="20" t="n"/>
      <c r="AW77" s="20" t="n"/>
      <c r="AX77" s="20" t="inlineStr">
        <is>
          <t>Main synthesis, design / preliminary evidence</t>
        </is>
      </c>
      <c r="AY77" s="20" t="inlineStr">
        <is>
          <t>Tighter relevance screen of supplied title, context and summary; not a new full-text assessment.</t>
        </is>
      </c>
      <c r="AZ77" s="20" t="inlineStr">
        <is>
          <t>Direct higher-education Computing/IT evidence on assessment design, assessment security, integrity or verification of individual understanding.</t>
        </is>
      </c>
      <c r="BA77" s="20" t="inlineStr">
        <is>
          <t>Not independently checked against original full text.</t>
        </is>
      </c>
    </row>
    <row r="78" ht="60" customHeight="1">
      <c r="A78" s="11" t="inlineStr">
        <is>
          <t>R77</t>
        </is>
      </c>
      <c r="B78" s="11" t="inlineStr">
        <is>
          <t>14/10/2026</t>
        </is>
      </c>
      <c r="C78" s="11" t="inlineStr">
        <is>
          <t>tables.docx, entry 14</t>
        </is>
      </c>
      <c r="D78" s="23" t="inlineStr">
        <is>
          <t>Process over Product: A Real-Time, Big Data Approach to Plagiarism Detection via Activity Logs
Source file: tables.docx</t>
        </is>
      </c>
      <c r="E78" s="11" t="inlineStr">
        <is>
          <t>B. S. Anurag Rao, Shreya Gurram, Justin Carvalho, Adhithya P. S. &amp; Animesh Giri</t>
        </is>
      </c>
      <c r="F78" s="11" t="n">
        <v>2026</v>
      </c>
      <c r="G78" s="11" t="inlineStr">
        <is>
          <t>Process over Product: A Real-Time, Big Data Approach to Plagiarism Detection via Activity Logs</t>
        </is>
      </c>
      <c r="H78" s="11" t="inlineStr">
        <is>
          <t>IEEE 2026 Global Engineering Education Conference (EDUCON). Peer-reviewed conference proceedings</t>
        </is>
      </c>
      <c r="I78" s="11" t="inlineStr">
        <is>
          <t>https://doi.org/10.1109/EDUCON67543.2026.11574328</t>
        </is>
      </c>
      <c r="J78" s="11" t="inlineStr">
        <is>
          <t>Conference paper</t>
        </is>
      </c>
      <c r="K78" s="11" t="inlineStr">
        <is>
          <t>Empirical technical system evaluation combining machine-learning model development, controlled classroom testing and synthetic scalability testing. The researchers developed a web-based programming platform called Superlit, using Apache Kafka, Apache Spark, Isolation Forest and code similarity analysis. Training data came from 189 undergraduate students, producing 366,987 programming activity events. A separate controlled classroom evaluation involved 101 students, including 19 instructed to work honestly and 82 instructed to attempt plagiarism.</t>
        </is>
      </c>
      <c r="L78" s="11" t="inlineStr">
        <is>
          <t>Highly relevant because it provides empirical evidence that students' coding processes can be used as additional evidence of authorship and assessment integrity. It directly supports evaluating Process Evidence as an assessment-security strategy and highlights the limitations of relying only on final submissions. Discipline: Undergraduate Computer Science, particularly Data Structures and Algorithms and competitive programming, at PES University, India.</t>
        </is>
      </c>
      <c r="M78" s="11" t="inlineStr">
        <is>
          <t>No</t>
        </is>
      </c>
      <c r="N78" s="11" t="n"/>
      <c r="O78" s="11" t="inlineStr">
        <is>
          <t>Include</t>
        </is>
      </c>
      <c r="P78" s="11" t="n"/>
      <c r="Q78" s="11" t="n"/>
      <c r="R78" s="12" t="inlineStr">
        <is>
          <t>Include</t>
        </is>
      </c>
      <c r="S78" s="11" t="inlineStr">
        <is>
          <t>High</t>
        </is>
      </c>
      <c r="T78" s="11" t="n"/>
      <c r="U78" s="11" t="inlineStr">
        <is>
          <t>Extraction supplied in tables.docx (not independently verified): The system achieved 93.67% precision, 90.24% recall, 87.13% accuracy and a 91.93% F1 score in the classroom experiment. It correctly detected 74 plagiarism cases but produced 5 false positives and missed 8 cases. Code replay helped identify students manually transcribing AI-generated code. The system also demonstrated real-time alerts and processing latency of approximately 400 milliseconds during scalability testing.</t>
        </is>
      </c>
      <c r="V78" s="11" t="n"/>
      <c r="W78" s="11" t="inlineStr">
        <is>
          <t>Detailed extraction imported from tables.docx. Source recommendation retained separately; verify against full text before final screening. 
Also listed in tables.pdf, entry 14. Existing extraction retained.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78" s="20">
        <f>IF(G78="","",IF(F78="","",IF(AND(F78&gt;=2022,F78&lt;=2024),"Review 2026 applicability","")))</f>
        <v/>
      </c>
      <c r="AE78" s="20">
        <f>IF(G78="","",IF(OR(E78="",F78="",I78="",V78=""),"Missing author/year/link/screener",""))</f>
        <v/>
      </c>
      <c r="AF78" s="20">
        <f>IF(G78="","",IF(I78="","",IF(COUNTIF($I$2:$I$100,I78)&gt;1,"Check duplicate","")))</f>
        <v/>
      </c>
      <c r="AG78" s="20">
        <f>IF(G78="","",IF(M78="Yes","Duplicate",IF(OR(R78="",R78="Pending"),"Review pending","")))</f>
        <v/>
      </c>
      <c r="AL78" t="inlineStr">
        <is>
          <t>R96</t>
        </is>
      </c>
      <c r="AO78" s="20" t="inlineStr">
        <is>
          <t>Investigates whether monitoring students' programming activities can help detect plagiarism and potentially AI-generated code more effectively than checking only final submissions. Primary category: Process Evidence. Secondary: Supervised Assessment and Unsupervised Assessment (potential application).</t>
        </is>
      </c>
      <c r="AP78" s="20" t="inlineStr">
        <is>
          <t>Collect students' programming activity logs, including typing patterns, code edits, deletions, paste events, compilation attempts and intermediate code snapshots. Use behavioral anomaly detection and code replay to identify suspicious development patterns. Teachers review flagged cases rather than relying solely on final-code similarity. The platform also generates implementation-specific multiple-choice questions to help verify code understanding.</t>
        </is>
      </c>
      <c r="AQ78" s="20" t="inlineStr">
        <is>
          <t>Direct, addresses academic integrity challenges caused by GenAI-generated programming solutions. The study specifically investigates cases where students use AI-generated code and manually type it into their submissions to avoid conventional copy-paste or similarity detection. However, the study does not independently evaluate students' learning outcomes when using GenAI.</t>
        </is>
      </c>
      <c r="AR78" s="20" t="inlineStr">
        <is>
          <t>Highly relevant because it provides empirical evidence that students' coding processes can be used as additional evidence of authorship and assessment integrity. It directly supports evaluating Process Evidence as an assessment-security strategy and highlights the limitations of relying only on final submissions. Discipline: Undergraduate Computer Science, particularly Data Structures and Algorithms and competitive programming, at PES University, India.</t>
        </is>
      </c>
      <c r="AS78" s="20" t="inlineStr">
        <is>
          <t>The study was conducted at one university using a specific web-based programming platform. The classroom evaluation deliberately instructed most participants to attempt plagiarism, limiting generalizability to normal assessment settings. Five honest students were incorrectly flagged because of unusual but legitimate coding patterns, while eight plagiarism attempts were missed. The system requires detailed activity monitoring, raising privacy, fairness, consent and data-management concerns. It does not establish that process monitoring improves student learning or prevents all forms of GenAI misuse.</t>
        </is>
      </c>
      <c r="AT78" s="20" t="inlineStr">
        <is>
          <t>Include, Primary empirical evidence. Strongly relevant to Process Evidence, with secondary relevance to Supervised Assessment. Useful for evaluating authenticity, academic integrity, technical feasibility, false-positive risks and instructor workload.</t>
        </is>
      </c>
      <c r="AU78" s="20" t="n"/>
      <c r="AV78" s="20" t="n"/>
      <c r="AW78" s="20" t="n"/>
      <c r="AX78" s="20" t="inlineStr">
        <is>
          <t>Main synthesis, assessment evidence</t>
        </is>
      </c>
      <c r="AY78" s="20" t="inlineStr">
        <is>
          <t>Tighter relevance screen of supplied title, context and summary; not a new full-text assessment.</t>
        </is>
      </c>
      <c r="AZ78" s="20" t="inlineStr">
        <is>
          <t>Direct higher-education Computing/IT evidence on assessment design, assessment security, integrity or verification of individual understanding.</t>
        </is>
      </c>
      <c r="BA78" s="20" t="inlineStr">
        <is>
          <t>Not independently checked against original full text.</t>
        </is>
      </c>
    </row>
    <row r="79" ht="60" customHeight="1">
      <c r="A79" s="11" t="inlineStr">
        <is>
          <t>R78</t>
        </is>
      </c>
      <c r="B79" s="11" t="inlineStr">
        <is>
          <t>14/10/2026</t>
        </is>
      </c>
      <c r="C79" s="11" t="inlineStr">
        <is>
          <t>tables.docx, entry 15</t>
        </is>
      </c>
      <c r="D79" s="23" t="inlineStr">
        <is>
          <t>CAP: AI-Augmented Curriculum-Aware Platform for Code Evaluation
Source file: tables.docx</t>
        </is>
      </c>
      <c r="E79" s="11" t="inlineStr">
        <is>
          <t>Rekha Chaturvedi, Kalpana Mishra, Preeti Sharma, Abhay Sharma &amp; Anubhava Srivastava</t>
        </is>
      </c>
      <c r="F79" s="11" t="n">
        <v>2026</v>
      </c>
      <c r="G79" s="11" t="inlineStr">
        <is>
          <t>CAP: AI-Augmented Curriculum-Aware Platform for Code Evaluation</t>
        </is>
      </c>
      <c r="H79" s="11" t="inlineStr">
        <is>
          <t>IEEE Madhya Pradesh Section Conference (MPCON 2026). Conference proceedings</t>
        </is>
      </c>
      <c r="I79" s="11" t="inlineStr">
        <is>
          <t>https://doi.org/10.1109/MPCON69668.2026.11508237</t>
        </is>
      </c>
      <c r="J79" s="11" t="inlineStr">
        <is>
          <t>Conference paper</t>
        </is>
      </c>
      <c r="K79" s="11" t="inlineStr">
        <is>
          <t>Prototype development and controlled benchmark-based technical evaluation. Researchers extended a web-based collaborative coding platform using modular microservices, heuristic static analysis, abstract syntax tree (AST) analysis, retrieval-augmented comparison and a lightweight language model for feedback generation. Evaluation used benchmark programming problems involving arrays, hashing and control-flow constructs, with simulated correct, partially correct and suboptimal submissions. The system was compared with conventional static analysis tools. The proctoring component was only partially implemented and tested in a prototype environment.</t>
        </is>
      </c>
      <c r="L79" s="11" t="inlineStr">
        <is>
          <t>Highly relevant to assessment design and security in Computing/IT education. It proposes an integrated approach to programming assessment that combines learning-outcome alignment, formative feedback, student coding activity and academic integrity monitoring. It can inform your evaluation framework regarding security, authenticity, fairness, instructor workload, scalability and technical feasibility. Discipline: Computer Science and Programming Education, particularly introductory and intermediate programming courses in higher education.</t>
        </is>
      </c>
      <c r="M79" s="11" t="inlineStr">
        <is>
          <t>No</t>
        </is>
      </c>
      <c r="N79" s="11" t="n"/>
      <c r="O79" s="11" t="inlineStr">
        <is>
          <t>Include</t>
        </is>
      </c>
      <c r="P79" s="11" t="n"/>
      <c r="Q79" s="11" t="n"/>
      <c r="R79" s="12" t="inlineStr">
        <is>
          <t>Include</t>
        </is>
      </c>
      <c r="S79" s="11" t="inlineStr">
        <is>
          <t>High</t>
        </is>
      </c>
      <c r="T79" s="11" t="n"/>
      <c r="U79" s="11" t="inlineStr">
        <is>
          <t>Extraction supplied in tables.docx (not independently verified): The curriculum-aware analysis produced fewer irrelevant warnings and false positives than generic static analysis tools in the tested examples. Retrieval-augmented feedback provided more context-specific explanations of coding issues. Real-time analysis operated without noticeably interrupting code editing. The prototype's structural code comparison identified duplicated solutions with superficial changes, such as variable renaming. Confidence-based alert aggregation reduced unnecessary alerts from isolated suspicious events. The paper does not report a numerical improvement in student learning outcomes or real-world cheating detection accuracy.</t>
        </is>
      </c>
      <c r="V79" s="11" t="n"/>
      <c r="W79" s="11" t="inlineStr">
        <is>
          <t>Detailed extraction imported from tables.docx. Source recommendation retained separately; verify against full text before final screening. 
Also listed in tables.pdf, entry 15. Existing extraction retained.
16/10/2026 relevance decision: Include. Relevant code-evaluation prototype; preliminary technical evidence rather than a validated classroom intervention.
Revised strict-scope decision: Include in main synthesis. Programming code-evaluation prototype; technical assessment evidence, not validated learning gains.</t>
        </is>
      </c>
      <c r="AD79" s="20">
        <f>IF(G79="","",IF(F79="","",IF(AND(F79&gt;=2022,F79&lt;=2024),"Review 2026 applicability","")))</f>
        <v/>
      </c>
      <c r="AE79" s="20">
        <f>IF(G79="","",IF(OR(E79="",F79="",I79="",V79=""),"Missing author/year/link/screener",""))</f>
        <v/>
      </c>
      <c r="AF79" s="20">
        <f>IF(G79="","",IF(I79="","",IF(COUNTIF($I$2:$I$100,I79)&gt;1,"Check duplicate","")))</f>
        <v/>
      </c>
      <c r="AG79" s="20">
        <f>IF(G79="","",IF(M79="Yes","Duplicate",IF(OR(R79="",R79="Pending"),"Review pending","")))</f>
        <v/>
      </c>
      <c r="AL79" t="inlineStr">
        <is>
          <t>R96</t>
        </is>
      </c>
      <c r="AO79" s="20" t="inlineStr">
        <is>
          <t>Proposes and evaluates CAP, an AI-assisted platform for programming education that combines automated code evaluation, real-time feedback, curriculum-aware analysis and academic integrity monitoring. The system aims to evaluate programming submissions according to learning objectives rather than only code correctness. Primary assessment categories: Supervised Assessment and Process Evidence. Secondary: Unsupervised Assessment.</t>
        </is>
      </c>
      <c r="AP79" s="20" t="inlineStr">
        <is>
          <t>Implement an integrated programming assessment environment combining curriculum-aware code analysis, real-time feedback, reference-solution comparison and coding-specific proctoring. During assessments, the platform can monitor identity verification, programming activity, code snapshots and structural code similarity. Instructors can use confidence-weighted alerts to investigate suspicious behavior rather than automatically penalizing students for isolated events.</t>
        </is>
      </c>
      <c r="AQ79" s="20" t="inlineStr">
        <is>
          <t>Direct but limited. The platform incorporates a lightweight large language model within a retrieval-augmented feedback process to explain differences between student code and instructor-approved reference solutions. It does not specifically evaluate ChatGPT-assisted student cheating or whether GenAI-generated code can evade integrity monitoring. Its main focus is AI-assisted assessment and feedback rather than student use of GenAI.</t>
        </is>
      </c>
      <c r="AR79" s="20" t="inlineStr">
        <is>
          <t>Highly relevant to assessment design and security in Computing/IT education. It proposes an integrated approach to programming assessment that combines learning-outcome alignment, formative feedback, student coding activity and academic integrity monitoring. It can inform your evaluation framework regarding security, authenticity, fairness, instructor workload, scalability and technical feasibility. Discipline: Computer Science and Programming Education, particularly introductory and intermediate programming courses in higher education.</t>
        </is>
      </c>
      <c r="AS79" s="20" t="inlineStr">
        <is>
          <t>Evaluation relied on benchmark programming tasks and simulated submissions rather than actual university students completing assessments. The proctoring module and some AI-assisted features were not fully implemented. The paper does not provide detailed quantitative evidence of improved learning outcomes, reduced academic misconduct or the system's accuracy in detecting real GenAI-assisted cheating. Privacy, student anxiety and fairness are discussed, but not empirically evaluated. Generalizability to large university classes remains untested.</t>
        </is>
      </c>
      <c r="AT79" s="20" t="inlineStr">
        <is>
          <t>Include, Supporting technical/prototype evidence. Particularly useful for Supervised Assessment and Process Evidence. Classify its evidence strength as preliminary rather than treating it as a validated classroom assessment intervention.</t>
        </is>
      </c>
      <c r="AU79" s="20" t="n"/>
      <c r="AV79" s="20" t="n"/>
      <c r="AW79" s="20" t="n"/>
      <c r="AX79" s="20" t="inlineStr">
        <is>
          <t>Main synthesis, design / preliminary evidence</t>
        </is>
      </c>
      <c r="AY79" s="20" t="inlineStr">
        <is>
          <t>Tighter relevance screen of supplied title, context and summary; not a new full-text assessment.</t>
        </is>
      </c>
      <c r="AZ79" s="20" t="inlineStr">
        <is>
          <t>Programming code-evaluation prototype; technical assessment evidence, not validated learning gains.</t>
        </is>
      </c>
      <c r="BA79" s="20" t="inlineStr">
        <is>
          <t>Not independently checked against original full text.</t>
        </is>
      </c>
    </row>
    <row r="80" ht="60" customHeight="1">
      <c r="A80" s="11" t="inlineStr">
        <is>
          <t>R79</t>
        </is>
      </c>
      <c r="B80" s="11" t="inlineStr">
        <is>
          <t>14/10/2026</t>
        </is>
      </c>
      <c r="C80" s="11" t="inlineStr">
        <is>
          <t>tables.docx, entry 16</t>
        </is>
      </c>
      <c r="D80" s="23" t="inlineStr">
        <is>
          <t>Educational Integration of ESP32 Project-Based Learning with Generative AI: Design, Implementation, and Evaluation in Two Engineering Cohorts
Source file: tables.docx</t>
        </is>
      </c>
      <c r="E80" s="11" t="inlineStr">
        <is>
          <t>Jose Manuel Medina Pozos and Jose M. Nieto-Jalil</t>
        </is>
      </c>
      <c r="F80" s="11" t="n">
        <v>2025</v>
      </c>
      <c r="G80" s="11" t="inlineStr">
        <is>
          <t>Educational Integration of ESP32 Project-Based Learning with Generative AI: Design, Implementation, and Evaluation in Two Engineering Cohorts</t>
        </is>
      </c>
      <c r="H80" s="11" t="inlineStr">
        <is>
          <t>IEEE 2025 Mexican International Conference on Computer Science (ENC) &amp; IEEE ICEV. Peer-reviewed conference research paper</t>
        </is>
      </c>
      <c r="I80" s="11" t="inlineStr">
        <is>
          <t>https://doi.org/10.1109/ENC68268.2025.11311879</t>
        </is>
      </c>
      <c r="J80" s="11" t="inlineStr">
        <is>
          <t>Conference paper</t>
        </is>
      </c>
      <c r="K80" s="11" t="inlineStr">
        <is>
          <t>Empirical educational intervention / quantitative evaluation of two cohorts. The study involved 29 university engineering students in two cohorts (n=14 and n=15) over five weeks. Data included final grades, pass rates, peer assessment scores and student perception surveys. Analysis used descriptive statistics, Pearson correlations, confidence intervals and Cohen's d.</t>
        </is>
      </c>
      <c r="L80" s="11" t="inlineStr">
        <is>
          <t>Highly relevant because it directly evaluates multiple authentic and secure assessment practices in an AI-rich technical education setting. It provides a practical model for combining product-based assessment, individual verification and process documentation. Discipline: Higher Education, Engineering, Embedded Systems, Microcontrollers, ESP32/Arduino Programming and Hardware-Software Integration. Strongly adjacent to Computing/IT, although not a conventional Computer Science course.</t>
        </is>
      </c>
      <c r="M80" s="11" t="inlineStr">
        <is>
          <t>No</t>
        </is>
      </c>
      <c r="N80" s="11" t="n"/>
      <c r="O80" s="11" t="inlineStr">
        <is>
          <t>Include</t>
        </is>
      </c>
      <c r="P80" s="11" t="n"/>
      <c r="Q80" s="11" t="n"/>
      <c r="R80" s="12" t="inlineStr">
        <is>
          <t>Background</t>
        </is>
      </c>
      <c r="S80" s="11" t="inlineStr">
        <is>
          <t>High</t>
        </is>
      </c>
      <c r="T80" s="11" t="n"/>
      <c r="U80" s="11" t="inlineStr">
        <is>
          <t>Extraction supplied in tables.docx (not independently verified): Overall mean grade 75.54/100 (SD=14.61), with a 72.4% pass rate. The two cohorts had similar mean scores (77.45 and 73.75; Cohen's d≈0.25). Peer assessment averaged 0.917/1 and correlated strongly with final grades (r≈0.78). Students reported favorable perceptions of the learning environment. The authors conclude that combining functional demonstrations, oral verification and traceable GenAI use can support authentic learning and individual accountability.</t>
        </is>
      </c>
      <c r="V80" s="11" t="n"/>
      <c r="W80" s="11" t="inlineStr">
        <is>
          <t>Detailed extraction imported from tables.docx. Source recommendation retained separately; verify against full text before final screening. 
Also listed in tables.pdf, entry 16. Existing extraction retained.
16/10/2026 relevance decision: Include. Programming-intensive engineering assessment is transferable to Computing/IT; report separately from discipline-specific studies.
Revised strict-scope decision: Background only. Engineering-course context rather than the strict Computing/IT programme scope; retain as adjacent-discipline background.</t>
        </is>
      </c>
      <c r="AD80" s="20">
        <f>IF(G80="","",IF(F80="","",IF(AND(F80&gt;=2022,F80&lt;=2024),"Review 2026 applicability","")))</f>
        <v/>
      </c>
      <c r="AE80" s="20">
        <f>IF(G80="","",IF(OR(E80="",F80="",I80="",V80=""),"Missing author/year/link/screener",""))</f>
        <v/>
      </c>
      <c r="AF80" s="20">
        <f>IF(G80="","",IF(I80="","",IF(COUNTIF($I$2:$I$100,I80)&gt;1,"Check duplicate","")))</f>
        <v/>
      </c>
      <c r="AG80" s="20">
        <f>IF(G80="","",IF(M80="Yes","Duplicate",IF(OR(R80="",R80="Pending"),"Review pending","")))</f>
        <v/>
      </c>
      <c r="AL80" t="inlineStr">
        <is>
          <t>R96</t>
        </is>
      </c>
      <c r="AO80" s="20" t="inlineStr">
        <is>
          <t>Investigates how GenAI can be integrated into a five-week university engineering module involving ESP32/Arduino programming and hardware-software development while maintaining authentic assessment and individual accountability. Assessment categories: Oral Assessment, Practical Demonstrations, Staged Submissions, Process Evidence and AI-use Declarations.</t>
        </is>
      </c>
      <c r="AP80" s="20" t="inlineStr">
        <is>
          <t>Combines 50% public prototype demonstration and 50% individual oral defence (viva voce). Students complete three checkpoints covering design, implementation and validation, maintain evidence boards documenting code versions, testing and decisions, and record GenAI prompts and justifications. Structured peer assessment provides additional evidence of individual contributions.</t>
        </is>
      </c>
      <c r="AQ80" s="20" t="inlineStr">
        <is>
          <t>Direct. GenAI was explicitly permitted for ideation, debugging, refactoring and documentation. Students had to maintain prompt logs, disclose AI assistance and justify which AI-generated suggestions they accepted or rejected. Individual oral examinations were used to check understanding beyond generated code.</t>
        </is>
      </c>
      <c r="AR80" s="20" t="inlineStr">
        <is>
          <t>Highly relevant because it directly evaluates multiple authentic and secure assessment practices in an AI-rich technical education setting. It provides a practical model for combining product-based assessment, individual verification and process documentation. Discipline: Higher Education, Engineering, Embedded Systems, Microcontrollers, ESP32/Arduino Programming and Hardware-Software Integration. Strongly adjacent to Computing/IT, although not a conventional Computer Science course.</t>
        </is>
      </c>
      <c r="AS80" s="20" t="inlineStr">
        <is>
          <t>Small sample (N=29), one university, only two cohorts and a five-week module. No control group without GenAI, so the effects of GenAI and individual assessment components cannot be isolated. Peer scores showed possible ceiling effects. The study did not directly measure cheating rates or independently validate whether the assessment prevented academic misconduct. Findings may not generalize to larger classes or other computing subjects.</t>
        </is>
      </c>
      <c r="AT80" s="20" t="inlineStr">
        <is>
          <t>Include, primary empirical evidence, provided your eligibility criteria include programming-intensive engineering or embedded-systems education. If your review is strictly limited to Computer Science/IT degree programmes, classify it as adjacent-discipline evidence and confirm eligibility against your protocol.</t>
        </is>
      </c>
      <c r="AU80" s="20" t="n"/>
      <c r="AV80" s="20" t="n"/>
      <c r="AW80" s="20" t="n"/>
      <c r="AX80" s="20" t="inlineStr">
        <is>
          <t>Background, outside main synthesis</t>
        </is>
      </c>
      <c r="AY80" s="20" t="inlineStr">
        <is>
          <t>Tighter relevance screen of supplied title, context and summary; not a new full-text assessment.</t>
        </is>
      </c>
      <c r="AZ80" s="20" t="inlineStr">
        <is>
          <t>Engineering-course context rather than the strict Computing/IT programme scope; retain as adjacent-discipline background.</t>
        </is>
      </c>
      <c r="BA80" s="20" t="inlineStr">
        <is>
          <t>Not independently checked against original full text.</t>
        </is>
      </c>
    </row>
    <row r="81" ht="60" customHeight="1">
      <c r="A81" s="11" t="inlineStr">
        <is>
          <t>R80</t>
        </is>
      </c>
      <c r="B81" s="11" t="inlineStr">
        <is>
          <t>14/10/2026</t>
        </is>
      </c>
      <c r="C81" s="11" t="inlineStr">
        <is>
          <t>tables.docx, entry 17</t>
        </is>
      </c>
      <c r="D81" s="23" t="inlineStr">
        <is>
          <t>Redefining Undergraduate Computing Education with GenAI-Facilitated Authentic In-Term Assessment
Source file: tables.docx</t>
        </is>
      </c>
      <c r="E81" s="11" t="inlineStr">
        <is>
          <t>Anum Masood, Vindya Wijeratne and Atm S. Alam</t>
        </is>
      </c>
      <c r="F81" s="11" t="n">
        <v>2025</v>
      </c>
      <c r="G81" s="11" t="inlineStr">
        <is>
          <t>Redefining Undergraduate Computing Education with GenAI-Facilitated Authentic In-Term Assessment</t>
        </is>
      </c>
      <c r="H81" s="11" t="inlineStr">
        <is>
          <t>IEEE 2025 International Conference on Teaching, Assessment, and Learning for Engineering (TALE). Conference research paper</t>
        </is>
      </c>
      <c r="I81" s="11" t="inlineStr">
        <is>
          <t>https://doi.org/10.1109/TALE66047.2025.11346650</t>
        </is>
      </c>
      <c r="J81" s="11" t="inlineStr">
        <is>
          <t>Conference paper</t>
        </is>
      </c>
      <c r="K81" s="11" t="inlineStr">
        <is>
          <t>Applied educational intervention / mixed-methods descriptive evaluation (preliminary). Implemented in a second-year Java programming module across two transnational education programmes in China, involving over 750 enrolled students. Data included project marks, individual viva evaluations, student reflections, initial GenAI-use feedback and assessment review requests. The paper describes qualitative analysis of reflections and quantitative marking data, but does not provide a completed comprehensive statistical evaluation.</t>
        </is>
      </c>
      <c r="L81" s="11" t="inlineStr">
        <is>
          <t>Extremely relevant. Directly investigates authentic and secure assessment in undergraduate programming education. It provides a practical model for combining unsupervised group programming tasks with individual oral verification, process documentation and transparent GenAI use. Discipline: Higher Education, Java Programming, Computing Education, Digital Media Technology, Intelligent Science and Technology, IoT and related engineering programmes.</t>
        </is>
      </c>
      <c r="M81" s="11" t="inlineStr">
        <is>
          <t>No</t>
        </is>
      </c>
      <c r="N81" s="11" t="n"/>
      <c r="O81" s="11" t="inlineStr">
        <is>
          <t>Include</t>
        </is>
      </c>
      <c r="P81" s="11" t="n"/>
      <c r="Q81" s="11" t="n"/>
      <c r="R81" s="12" t="inlineStr">
        <is>
          <t>Include</t>
        </is>
      </c>
      <c r="S81" s="11" t="inlineStr">
        <is>
          <t>High</t>
        </is>
      </c>
      <c r="T81" s="11" t="n"/>
      <c r="U81" s="11" t="inlineStr">
        <is>
          <t>Extraction supplied in tables.docx (not independently verified): The authors report that individual viva assessments distinguished students with stronger programming understanding from those with weaker understanding, even when group reports were of similar quality. Most students viewed GenAI positively, although approximately 7% reported that it was not useful. Some students struggled despite using GenAI. The authors also observed approximately 10 mark review requests, fewer than in previous years. They argue that prompt justification, reflection and viva assessments encourage critical engagement with AI-generated code.</t>
        </is>
      </c>
      <c r="V81" s="11" t="n"/>
      <c r="W81" s="11" t="inlineStr">
        <is>
          <t>Detailed extraction imported from tables.docx. Source recommendation retained separately; verify against full text before final screening. 
Also listed in tables.pdf, entry 17. Existing extraction retained.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81" s="20">
        <f>IF(G81="","",IF(F81="","",IF(AND(F81&gt;=2022,F81&lt;=2024),"Review 2026 applicability","")))</f>
        <v/>
      </c>
      <c r="AE81" s="20">
        <f>IF(G81="","",IF(OR(E81="",F81="",I81="",V81=""),"Missing author/year/link/screener",""))</f>
        <v/>
      </c>
      <c r="AF81" s="20">
        <f>IF(G81="","",IF(I81="","",IF(COUNTIF($I$2:$I$100,I81)&gt;1,"Check duplicate","")))</f>
        <v/>
      </c>
      <c r="AG81" s="20">
        <f>IF(G81="","",IF(M81="Yes","Duplicate",IF(OR(R81="",R81="Pending"),"Review pending","")))</f>
        <v/>
      </c>
      <c r="AL81" t="inlineStr">
        <is>
          <t>R96</t>
        </is>
      </c>
      <c r="AO81" s="20" t="inlineStr">
        <is>
          <t>Investigates how GenAI-supported, real-world Java programming mini-projects can be assessed authentically while ensuring students demonstrate individual understanding. Assessment categories: Oral Assessment, Practical Demonstrations, Process Evidence and AI-use Declarations. Also relevant to Unsupervised Assessment and Staged Submissions.</t>
        </is>
      </c>
      <c r="AP81" s="20" t="inlineStr">
        <is>
          <t>Students work in groups to develop a Java GUI application that teaches mathematics to schoolchildren. GenAI assistance is permitted, but students must submit three selected AI prompts with explanations, a project report, source code, UML diagrams, flowcharts and individual reflections. Each student completes an in-person viva, explaining their code, justifying design decisions and responding to real-time modification requests.</t>
        </is>
      </c>
      <c r="AQ81" s="20" t="inlineStr">
        <is>
          <t>Direct. Students were encouraged to use GenAI for code generation, debugging, understanding programming concepts and documentation. They were required to submit selected prompts, explain their purpose and reflect on their GenAI use. The assessment aimed to distinguish meaningful AI assistance from outsourcing the entire programming task.</t>
        </is>
      </c>
      <c r="AR81" s="20" t="inlineStr">
        <is>
          <t>Extremely relevant. Directly investigates authentic and secure assessment in undergraduate programming education. It provides a practical model for combining unsupervised group programming tasks with individual oral verification, process documentation and transparent GenAI use. Discipline: Higher Education, Java Programming, Computing Education, Digital Media Technology, Intelligent Science and Technology, IoT and related engineering programmes.</t>
        </is>
      </c>
      <c r="AS81" s="20" t="inlineStr">
        <is>
          <t>No controlled comparison against conventional assessment or non-GenAI conditions. The paper does not provide complete statistical evidence of learning gains, assessment validity or academic integrity improvements. Some survey analysis was pending. Anonymous feedback could not be linked to individual performance. The intervention took place in a specific transnational education context, limiting generalizability. The large enrolment does not mean every student participated in every reported analysis.</t>
        </is>
      </c>
      <c r="AT81" s="20" t="inlineStr">
        <is>
          <t>Include, primary empirical study. Directly meets the project's focus on higher-education Computing/IT, GenAI and authentic assessment strategies.</t>
        </is>
      </c>
      <c r="AU81" s="20" t="n"/>
      <c r="AV81" s="20" t="n"/>
      <c r="AW81" s="20" t="n"/>
      <c r="AX81" s="20" t="inlineStr">
        <is>
          <t>Main synthesis, assessment evidence</t>
        </is>
      </c>
      <c r="AY81" s="20" t="inlineStr">
        <is>
          <t>Tighter relevance screen of supplied title, context and summary; not a new full-text assessment.</t>
        </is>
      </c>
      <c r="AZ81" s="20" t="inlineStr">
        <is>
          <t>Direct higher-education Computing/IT evidence on assessment design, assessment security, integrity or verification of individual understanding.</t>
        </is>
      </c>
      <c r="BA81" s="20" t="inlineStr">
        <is>
          <t>Not independently checked against original full text.</t>
        </is>
      </c>
    </row>
    <row r="82" ht="60" customHeight="1">
      <c r="A82" s="11" t="inlineStr">
        <is>
          <t>R81</t>
        </is>
      </c>
      <c r="B82" s="11" t="inlineStr">
        <is>
          <t>14/10/2026</t>
        </is>
      </c>
      <c r="C82" s="11" t="inlineStr">
        <is>
          <t>tables.docx, entry 18</t>
        </is>
      </c>
      <c r="D82" s="23" t="inlineStr">
        <is>
          <t>Beyond the Code: Evaluating Alternative Assessment Strategies for Integrity and Authentic Learning in AI-Influenced Programming Tasks
Source file: tables.docx</t>
        </is>
      </c>
      <c r="E82" s="11" t="inlineStr">
        <is>
          <t>Muhammad Hafeez Javed, Taha M. Rajeh, Zaid Al-Huda, Waseem Ahmed Abbasi, Joao Fialho and Martin Konan</t>
        </is>
      </c>
      <c r="F82" s="11" t="n">
        <v>2026</v>
      </c>
      <c r="G82" s="11" t="inlineStr">
        <is>
          <t>Beyond the Code: Evaluating Alternative Assessment Strategies for Integrity and Authentic Learning in AI-Influenced Programming Tasks</t>
        </is>
      </c>
      <c r="H82" s="11" t="inlineStr">
        <is>
          <t>IEEE 2026 4th UK-China Teaching, Learning, and Educational Technology (TILE-TEC) Conference, pp. 100-105. Conference research paper,</t>
        </is>
      </c>
      <c r="I82" s="11" t="inlineStr">
        <is>
          <t>https://doi.org/10.1109/TILE-TEC70450.2026.11682137</t>
        </is>
      </c>
      <c r="J82" s="11" t="inlineStr">
        <is>
          <t>Conference paper</t>
        </is>
      </c>
      <c r="K82" s="11" t="inlineStr">
        <is>
          <t>Empirical action research / two-phase educational intervention with quantitative descriptive analysis. The study involved 60 undergraduate students enrolled in a programming-focused course. Phase 1 examined traditional take-home assignments alongside viva and live coding performance. Phase 2 introduced the TAP Framework. Data included assessment scores, a composite Learning Integrity Score (LIS) and student perceptions of fairness and learning improvement. Analysis used descriptive statistics, score comparisons, distributions and visualizations.</t>
        </is>
      </c>
      <c r="L82" s="11" t="inlineStr">
        <is>
          <t>Extremely relevant. Directly evaluates authentic and secure assessment strategies in higher-education programming. Provides quantitative evidence about the limitations of product-only assessment and a practical framework combining process evidence, oral verification and supervised programming demonstrations. Discipline: Higher Education, Undergraduate Programming / Computing Education.</t>
        </is>
      </c>
      <c r="M82" s="11" t="inlineStr">
        <is>
          <t>No</t>
        </is>
      </c>
      <c r="N82" s="11" t="n"/>
      <c r="O82" s="11" t="inlineStr">
        <is>
          <t>Include</t>
        </is>
      </c>
      <c r="P82" s="11" t="n"/>
      <c r="Q82" s="11" t="n"/>
      <c r="R82" s="12" t="inlineStr">
        <is>
          <t>Include</t>
        </is>
      </c>
      <c r="S82" s="11" t="inlineStr">
        <is>
          <t>High</t>
        </is>
      </c>
      <c r="T82" s="11" t="n"/>
      <c r="U82" s="11" t="inlineStr">
        <is>
          <t>Extraction supplied in tables.docx (not independently verified): In Phase 1, average take-home assignment scores were 83.83%, compared with 35.17% for viva and 43.93% for live coding, indicating a substantial mismatch between submitted work and demonstrated understanding. After implementing TAP, average repository, viva and live coding scores were approximately 63%, 56% and 58%, respectively. The average LIS increased from 11.7% to 45.3%. Additionally, 83.3% of students preferred the revised assessment, and 86.7% rated it fair or very fair.</t>
        </is>
      </c>
      <c r="V82" s="11" t="n"/>
      <c r="W82" s="11" t="inlineStr">
        <is>
          <t>Detailed extraction imported from tables.docx. Source recommendation retained separately; verify against full text before final screening. 
Also listed in tables.pdf, entry 18. Existing extraction retained.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82" s="20">
        <f>IF(G82="","",IF(F82="","",IF(AND(F82&gt;=2022,F82&lt;=2024),"Review 2026 applicability","")))</f>
        <v/>
      </c>
      <c r="AE82" s="20">
        <f>IF(G82="","",IF(OR(E82="",F82="",I82="",V82=""),"Missing author/year/link/screener",""))</f>
        <v/>
      </c>
      <c r="AF82" s="20">
        <f>IF(G82="","",IF(I82="","",IF(COUNTIF($I$2:$I$100,I82)&gt;1,"Check duplicate","")))</f>
        <v/>
      </c>
      <c r="AG82" s="20">
        <f>IF(G82="","",IF(M82="Yes","Duplicate",IF(OR(R82="",R82="Pending"),"Review pending","")))</f>
        <v/>
      </c>
      <c r="AL82" t="inlineStr">
        <is>
          <t>R96</t>
        </is>
      </c>
      <c r="AO82" s="20" t="inlineStr">
        <is>
          <t>Investigates whether alternative programming assessments provide more reliable evidence of student understanding than conventional take-home submissions in GenAI-influenced education. Assessment categories: Supervised Assessment, Unsupervised Assessment, Oral Assessment, Practical Demonstrations and Process Evidence.</t>
        </is>
      </c>
      <c r="AP82" s="20" t="inlineStr">
        <is>
          <t>Implements the TAP Framework (Triangulated Authentic Programming Assessment), combining three components: (1) Repository-based submissions with Git commits and version history, (2) Structured viva examinations requiring students to explain their reasoning and programming decisions, and (3) Supervised live coding demonstrations requiring students to reproduce, modify or extend their submitted code. The framework assesses students using multiple forms of evidence rather than final code alone.</t>
        </is>
      </c>
      <c r="AQ82" s="20" t="inlineStr">
        <is>
          <t>Direct. The study investigates programming assessment in an environment where students can use GenAI to generate, debug and explain code. Rather than banning AI, TAP requires students to demonstrate genuine understanding and ownership of their work. However, the study does not directly measure individual students' GenAI usage or establish that AI caused the initial performance mismatch.</t>
        </is>
      </c>
      <c r="AR82" s="20" t="inlineStr">
        <is>
          <t>Extremely relevant. Directly evaluates authentic and secure assessment strategies in higher-education programming. Provides quantitative evidence about the limitations of product-only assessment and a practical framework combining process evidence, oral verification and supervised programming demonstrations. Discipline: Higher Education, Undergraduate Programming / Computing Education.</t>
        </is>
      </c>
      <c r="AS82" s="20" t="inlineStr">
        <is>
          <t>Relatively small sample (N=60), single programming-course context and convenience sampling. No randomized control group or independent validation of the LIS metric. The intervention combines multiple strategies, making it difficult to isolate the effectiveness of individual components. Viva performance may be influenced by anxiety, confidence and language proficiency. The study does not directly measure academic misconduct, cheating rates or actual GenAI dependence.</t>
        </is>
      </c>
      <c r="AT82" s="20" t="inlineStr">
        <is>
          <t>Include, primary empirical evidence. Strongly meets the review's focus on higher-education Computing/IT, authentic assessment and assessment security in AI-rich environments.</t>
        </is>
      </c>
      <c r="AU82" s="20" t="n"/>
      <c r="AV82" s="20" t="n"/>
      <c r="AW82" s="20" t="n"/>
      <c r="AX82" s="20" t="inlineStr">
        <is>
          <t>Main synthesis, design / preliminary evidence</t>
        </is>
      </c>
      <c r="AY82" s="20" t="inlineStr">
        <is>
          <t>Tighter relevance screen of supplied title, context and summary; not a new full-text assessment.</t>
        </is>
      </c>
      <c r="AZ82" s="20" t="inlineStr">
        <is>
          <t>Direct higher-education Computing/IT evidence on assessment design, assessment security, integrity or verification of individual understanding.</t>
        </is>
      </c>
      <c r="BA82" s="20" t="inlineStr">
        <is>
          <t>Not independently checked against original full text.</t>
        </is>
      </c>
    </row>
    <row r="83" ht="60" customHeight="1">
      <c r="A83" s="11" t="inlineStr">
        <is>
          <t>R82</t>
        </is>
      </c>
      <c r="B83" s="11" t="inlineStr">
        <is>
          <t>14/10/2026</t>
        </is>
      </c>
      <c r="C83" s="11" t="inlineStr">
        <is>
          <t>tables.docx, entry 19</t>
        </is>
      </c>
      <c r="D83" s="23" t="inlineStr">
        <is>
          <t>Adapting Program Assessment for the Age of Generative AI
Source file: tables.docx</t>
        </is>
      </c>
      <c r="E83" s="11" t="inlineStr">
        <is>
          <t>Michael Verdicchio</t>
        </is>
      </c>
      <c r="F83" s="11" t="n">
        <v>2025</v>
      </c>
      <c r="G83" s="11" t="inlineStr">
        <is>
          <t>Adapting Program Assessment for the Age of Generative AI</t>
        </is>
      </c>
      <c r="H83" s="11" t="inlineStr">
        <is>
          <t>IEEE 2025 Engineering Education World Conference (EDUNINE). Conference research paper</t>
        </is>
      </c>
      <c r="I83" s="11" t="inlineStr">
        <is>
          <t>https://doi.org/10.1109/EDUNINE62377.2025.10981409</t>
        </is>
      </c>
      <c r="J83" s="11" t="inlineStr">
        <is>
          <t>Conference paper</t>
        </is>
      </c>
      <c r="K83" s="11" t="inlineStr">
        <is>
          <t>Educational experience report / descriptive case study with exploratory qualitative feedback. Conducted in a university Computer Science Data Structures course. Approximately 30 students completed the redesigned project and were invited to provide anonymous written reflections on GenAI use and appropriate classroom policies. The responses were aggregated and analyzed thematically using ChatGPT. The paper also reports observations from earlier assessment tasks and discusses programme-level assessment redesign using ABET accreditation criteria. No randomized control group or formal experimental evaluation was reported.</t>
        </is>
      </c>
      <c r="L83" s="11" t="inlineStr">
        <is>
          <t>Highly relevant. Directly addresses assessment authenticity, academic integrity and assessment redesign in university Computer Science education. Provides an implemented example of staged programming assessment with permitted GenAI use, as well as recommendations for supervised assessment and verification-based learning outcomes. Discipline: Higher Education, Computer Science, Data Structures, Software Development and Computing Programme Assessment.</t>
        </is>
      </c>
      <c r="M83" s="11" t="inlineStr">
        <is>
          <t>No</t>
        </is>
      </c>
      <c r="N83" s="11" t="n"/>
      <c r="O83" s="11" t="inlineStr">
        <is>
          <t>Include</t>
        </is>
      </c>
      <c r="P83" s="11" t="n"/>
      <c r="Q83" s="11" t="n"/>
      <c r="R83" s="12" t="inlineStr">
        <is>
          <t>Include</t>
        </is>
      </c>
      <c r="S83" s="11" t="inlineStr">
        <is>
          <t>High</t>
        </is>
      </c>
      <c r="T83" s="11" t="n"/>
      <c r="U83" s="11" t="inlineStr">
        <is>
          <t>Extraction supplied in tables.docx (not independently verified): Traditional programming assessment tasks were vulnerable to GenAI. In one code-tracing assessment, students meeting the benchmark increased from 44% in 2022 to over 80% in 2023, prompting concerns about AI assistance. ChatGPT also generated a solution satisfying approximately 90% of the performance requirements of a traditional programming assignment. The redesigned multi-part project encouraged students to focus on software architecture and evaluation of AI-generated code. Student reflections indicated perceived efficiency benefits, but also concerns about AI dependency and reduced independent programming practice.</t>
        </is>
      </c>
      <c r="V83" s="11" t="n"/>
      <c r="W83" s="11" t="inlineStr">
        <is>
          <t>Detailed extraction imported from tables.docx. Source recommendation retained separately; verify against full text before final screening. 
Also listed in tables.pdf, entry 19. Existing extraction retained.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83" s="20">
        <f>IF(G83="","",IF(F83="","",IF(AND(F83&gt;=2022,F83&lt;=2024),"Review 2026 applicability","")))</f>
        <v/>
      </c>
      <c r="AE83" s="20">
        <f>IF(G83="","",IF(OR(E83="",F83="",I83="",V83=""),"Missing author/year/link/screener",""))</f>
        <v/>
      </c>
      <c r="AF83" s="20">
        <f>IF(G83="","",IF(I83="","",IF(COUNTIF($I$2:$I$100,I83)&gt;1,"Check duplicate","")))</f>
        <v/>
      </c>
      <c r="AG83" s="20">
        <f>IF(G83="","",IF(M83="Yes","Duplicate",IF(OR(R83="",R83="Pending"),"Review pending","")))</f>
        <v/>
      </c>
      <c r="AL83" t="inlineStr">
        <is>
          <t>R96</t>
        </is>
      </c>
      <c r="AO83" s="20" t="inlineStr">
        <is>
          <t>Examines how GenAI tools such as ChatGPT and GitHub Copilot affect the validity of traditional assessment in Computer Science education. It discusses redesigning assessment tasks so that students demonstrate meaningful learning rather than simply producing AI-generated code. Assessment categories: Staged Submissions, Unsupervised Assessment, Practical Demonstrations and Supervised Assessment. Also relevant to Process Evidence and AI-use Declarations.</t>
        </is>
      </c>
      <c r="AP83" s="20" t="inlineStr">
        <is>
          <t>Replaces a traditional programming assignment with a five-part Data Structures project involving research, design, architecture, GenAI-assisted implementation and reflection. Students are encouraged to use GenAI for smaller coding tasks while remaining responsible for overall software design and correctness. They submit a short screencast demonstrating their project and explaining their code. The paper also recommends controlled examinations for assessing foundational knowledge and revising learning-outcome indicators to include AI-code verification.</t>
        </is>
      </c>
      <c r="AQ83" s="20" t="inlineStr">
        <is>
          <t>Direct. Explicitly discusses ChatGPT and GitHub Copilot in programming education. Students were encouraged to use GenAI for implementing smaller functions and modules after completing design and architecture tasks. The paper emphasizes responsible AI use, verification of generated code and maintaining fundamental programming skills.</t>
        </is>
      </c>
      <c r="AR83" s="20" t="inlineStr">
        <is>
          <t>Highly relevant. Directly addresses assessment authenticity, academic integrity and assessment redesign in university Computer Science education. Provides an implemented example of staged programming assessment with permitted GenAI use, as well as recommendations for supervised assessment and verification-based learning outcomes. Discipline: Higher Education, Computer Science, Data Structures, Software Development and Computing Programme Assessment.</t>
        </is>
      </c>
      <c r="AS83" s="20" t="inlineStr">
        <is>
          <t>Small, single-course implementation involving approximately 30 students. No control group or formal statistical comparison of learning outcomes. Student feedback was anonymous and analyzed using ChatGPT, with no reported independent validation of the thematic analysis. The increase in earlier assessment scores does not establish that students cheated or used GenAI. The redesigned project increased grading complexity because students produced different solutions, limiting conventional auto grading. No direct measurement of academic misconduct reduction or long-term learning improvement.</t>
        </is>
      </c>
      <c r="AT83" s="20" t="inlineStr">
        <is>
          <t>Include, primary descriptive/experience-report evidence, provided your systematic review includes educational experience reports and implemented assessment interventions. Classify separately from controlled empirical studies.</t>
        </is>
      </c>
      <c r="AU83" s="20" t="n"/>
      <c r="AV83" s="20" t="n"/>
      <c r="AW83" s="20" t="n"/>
      <c r="AX83" s="20" t="inlineStr">
        <is>
          <t>Main synthesis, design / preliminary evidence</t>
        </is>
      </c>
      <c r="AY83" s="20" t="inlineStr">
        <is>
          <t>Tighter relevance screen of supplied title, context and summary; not a new full-text assessment.</t>
        </is>
      </c>
      <c r="AZ83" s="20" t="inlineStr">
        <is>
          <t>Direct higher-education Computing/IT evidence on assessment design, assessment security, integrity or verification of individual understanding.</t>
        </is>
      </c>
      <c r="BA83" s="20" t="inlineStr">
        <is>
          <t>Not independently checked against original full text.</t>
        </is>
      </c>
    </row>
    <row r="84" ht="60" customHeight="1">
      <c r="A84" s="11" t="inlineStr">
        <is>
          <t>R83</t>
        </is>
      </c>
      <c r="B84" s="11" t="inlineStr">
        <is>
          <t>14/10/2026</t>
        </is>
      </c>
      <c r="C84" s="11" t="inlineStr">
        <is>
          <t>tables.docx, entry 20</t>
        </is>
      </c>
      <c r="D84" s="23" t="inlineStr">
        <is>
          <t>A Framework for Assessment Design in the Era of Generative AI: Case Study of Take-Home Assignment in Software-related Courses
Source file: tables.docx</t>
        </is>
      </c>
      <c r="E84" s="11" t="inlineStr">
        <is>
          <t>Anna Lyza Felipe, Ushik Shrestha Khwakhali and Thanh Ngoc Nguyen</t>
        </is>
      </c>
      <c r="F84" s="11" t="n">
        <v>2025</v>
      </c>
      <c r="G84" s="11" t="inlineStr">
        <is>
          <t>A Framework for Assessment Design in the Era of Generative AI: Case Study of Take-Home Assignment in Software-related Courses</t>
        </is>
      </c>
      <c r="H84" s="11" t="inlineStr">
        <is>
          <t>IEEE 2025 10th International STEM Education Conference (iSTEM-Ed). Conference research paper</t>
        </is>
      </c>
      <c r="I84" s="11" t="inlineStr">
        <is>
          <t>https://doi.org/10.1109/iSTEM-Ed65612.2025.11129352</t>
        </is>
      </c>
      <c r="J84" s="11" t="inlineStr">
        <is>
          <t>Conference paper</t>
        </is>
      </c>
      <c r="K84" s="11" t="inlineStr">
        <is>
          <t>Experimental AI capability evaluation and assessment-framework development. Researchers selected three assessment tasks from Bachelor of Information Technology (BIT) and Bachelor of Software Engineering (BSE) programmes at a university in Vietnam: Advanced Programming Techniques (C++), Enterprise Application Development (HTML/JavaScript), and Object-Oriented Programming (Java). Questions were classified using Bloom's Taxonomy, submitted to ChatGPT-3.5 either directly or in smaller components, and the resulting solutions were evaluated against existing marking rubrics by the course lecturers. No student intervention, randomized experiment or classroom evaluation of the proposed framework was reported.</t>
        </is>
      </c>
      <c r="L84" s="11" t="inlineStr">
        <is>
          <t>Highly relevant because it directly addresses how GenAI challenges the security and validity of traditional programming assessments. It offers a concrete assessment-design framework that could inform your project's decision guide, especially when considering learning-outcome alignment, higher-order cognitive skills and AI-resistant task design. Discipline: Higher Education, Information Technology, Software Engineering, C++, Java and Web Application Development in Vietnam.</t>
        </is>
      </c>
      <c r="M84" s="11" t="inlineStr">
        <is>
          <t>No</t>
        </is>
      </c>
      <c r="N84" s="11" t="n"/>
      <c r="O84" s="11" t="inlineStr">
        <is>
          <t>Include</t>
        </is>
      </c>
      <c r="P84" s="11" t="n"/>
      <c r="Q84" s="11" t="n"/>
      <c r="R84" s="12" t="inlineStr">
        <is>
          <t>Include</t>
        </is>
      </c>
      <c r="S84" s="11" t="inlineStr">
        <is>
          <t>High</t>
        </is>
      </c>
      <c r="T84" s="11" t="n"/>
      <c r="U84" s="11" t="inlineStr">
        <is>
          <t>Extraction supplied in tables.docx (not independently verified): ChatGPT-generated responses received estimated marks of 70% for the group programming assignment, 65% for the individual Enterprise Application Development assessment, and 75% for the Object-Oriented Programming final test. These results indicate that ChatGPT-3.5 could produce passing-level solutions for all three sampled tasks, although it did not achieve full marks. The researchers consequently proposed an assessment framework encouraging complex tasks, higher-order thinking and independent evaluation of AI-generated solutions.</t>
        </is>
      </c>
      <c r="V84" s="11" t="n"/>
      <c r="W84" s="11" t="inlineStr">
        <is>
          <t>Detailed extraction imported from tables.docx. Source recommendation retained separately; verify against full text before final screening. 
Also listed in tables.pdf, entry 20. Existing extraction retained.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84" s="20">
        <f>IF(G84="","",IF(F84="","",IF(AND(F84&gt;=2022,F84&lt;=2024),"Review 2026 applicability","")))</f>
        <v/>
      </c>
      <c r="AE84" s="20">
        <f>IF(G84="","",IF(OR(E84="",F84="",I84="",V84=""),"Missing author/year/link/screener",""))</f>
        <v/>
      </c>
      <c r="AF84" s="20">
        <f>IF(G84="","",IF(I84="","",IF(COUNTIF($I$2:$I$100,I84)&gt;1,"Check duplicate","")))</f>
        <v/>
      </c>
      <c r="AG84" s="20">
        <f>IF(G84="","",IF(M84="Yes","Duplicate",IF(OR(R84="",R84="Pending"),"Review pending","")))</f>
        <v/>
      </c>
      <c r="AL84" t="inlineStr">
        <is>
          <t>R96</t>
        </is>
      </c>
      <c r="AO84" s="20" t="inlineStr">
        <is>
          <t>Investigates the vulnerability of take-home software programming assignments to ChatGPT-generated solutions and proposes a framework for designing assessments that encourage higher-order thinking and academic integrity. Primary category: Unsupervised Assessment. Secondary: Supervised Assessment and assessment task redesign.</t>
        </is>
      </c>
      <c r="AP84" s="20" t="inlineStr">
        <is>
          <t>Design programming assignments around higher levels of Bloom's Taxonomy, particularly Evaluating (Level 5) and Creating (Level 6). Include complex, multi-component problems requiring students to integrate and evaluate solutions. Require students to critique AI-generated answers to demonstrate critical thinking. The framework also recommends incorporating visual information and using controlled, time-limited tests where appropriate. These are proposed strategies, not individually validated interventions.</t>
        </is>
      </c>
      <c r="AQ84" s="20" t="inlineStr">
        <is>
          <t>Direct. ChatGPT-3.5 was used to generate programming solutions for real university assessment questions. Researchers tested both direct prompting and breaking larger tasks into smaller questions before combining generated answers. The study focuses on the academic integrity implications of students having access to GenAI during take-home programming assessments.</t>
        </is>
      </c>
      <c r="AR84" s="20" t="inlineStr">
        <is>
          <t>Highly relevant because it directly addresses how GenAI challenges the security and validity of traditional programming assessments. It offers a concrete assessment-design framework that could inform your project's decision guide, especially when considering learning-outcome alignment, higher-order cognitive skills and AI-resistant task design. Discipline: Higher Education, Information Technology, Software Engineering, C++, Java and Web Application Development in Vietnam.</t>
        </is>
      </c>
      <c r="AS84" s="20" t="inlineStr">
        <is>
          <t>Only three assessment tasks and one GenAI model (ChatGPT-3.5) were evaluated. No students participated in testing the redesigned framework. The study does not establish whether higher Bloom's Taxonomy levels, image-based tasks or complex questions actually prevent GenAI misuse. Some recommendations depend on limitations of early ChatGPT versions that may no longer apply to current multimodal models. The marking results are based on lecturer evaluations of AI-generated solutions, without reported inter-rater reliability. No measured improvements in student learning, authenticity or misconduct reduction.</t>
        </is>
      </c>
      <c r="AT84" s="20" t="inlineStr">
        <is>
          <t>Include, supporting empirical/design-framework evidence. Useful for evaluating GenAI vulnerabilities and constructing assessment-design recommendations. Do not classify it as an experimentally validated assessment intervention.</t>
        </is>
      </c>
      <c r="AU84" s="20" t="n"/>
      <c r="AV84" s="20" t="n"/>
      <c r="AW84" s="20" t="n"/>
      <c r="AX84" s="20" t="inlineStr">
        <is>
          <t>Main synthesis, design / preliminary evidence</t>
        </is>
      </c>
      <c r="AY84" s="20" t="inlineStr">
        <is>
          <t>Tighter relevance screen of supplied title, context and summary; not a new full-text assessment.</t>
        </is>
      </c>
      <c r="AZ84" s="20" t="inlineStr">
        <is>
          <t>Direct higher-education Computing/IT evidence on assessment design, assessment security, integrity or verification of individual understanding.</t>
        </is>
      </c>
      <c r="BA84" s="20" t="inlineStr">
        <is>
          <t>Not independently checked against original full text.</t>
        </is>
      </c>
    </row>
    <row r="85" ht="168" customHeight="1">
      <c r="A85" s="11" t="inlineStr">
        <is>
          <t>R84</t>
        </is>
      </c>
      <c r="B85" s="11" t="inlineStr">
        <is>
          <t>14/10/2026</t>
        </is>
      </c>
      <c r="C85" s="11" t="inlineStr">
        <is>
          <t>tables.docx, entry 21</t>
        </is>
      </c>
      <c r="D85" s="23" t="inlineStr">
        <is>
          <t>Can We Design AI-Resilient Programming Assessments? Reflections from a Front-End Web Development Course
Source file: tables.docx</t>
        </is>
      </c>
      <c r="E85" s="11" t="inlineStr">
        <is>
          <t>Chengcheng Han; Xinfeng Ye; Sathiamoorthy Manoharan</t>
        </is>
      </c>
      <c r="F85" s="11" t="n">
        <v>2026</v>
      </c>
      <c r="G85" s="11" t="inlineStr">
        <is>
          <t>Can We Design AI-Resilient Programming Assessments? Reflections from a Front-End Web Development Course</t>
        </is>
      </c>
      <c r="H85" s="11" t="inlineStr">
        <is>
          <t>IEEE 2026 Engineering Education World Conference (EDUNINE). Conference research paper</t>
        </is>
      </c>
      <c r="I85" s="11" t="inlineStr">
        <is>
          <t>https://doi.org/10.1109/EDUNINE62390.2026.11547103</t>
        </is>
      </c>
      <c r="J85" s="11" t="inlineStr">
        <is>
          <t>Conference paper</t>
        </is>
      </c>
      <c r="K85" s="11" t="inlineStr">
        <is>
          <t>Empirical AI-model comparative case study. Based on a third-year undergraduate Client Development course at the University of Auckland involving 314 students. Researchers evaluated multiple LLMs, including GPT-5, Claude, Gemini, DeepSeek, Grok and Qwen, against an existing HTML/CSS/SVG programming assignment. Models were initially given the same assignment instructions without follow-up prompting. Additional experiments provided the reference image directly and tested iterative AI self-correction.</t>
        </is>
      </c>
      <c r="L85" s="11" t="inlineStr">
        <is>
          <t>Directly relevant to designing authentic and secure programming assessments in AI-rich environments. Particularly useful for examining the vulnerability of unsupervised programming tasks, the limitations of AI-resistant design and the trade-offs between assessment security and scalability. Discipline: Higher Education, Computer Science / Front-End Web Development, New Zealand.</t>
        </is>
      </c>
      <c r="M85" s="11" t="inlineStr">
        <is>
          <t>No</t>
        </is>
      </c>
      <c r="N85" s="11" t="n"/>
      <c r="O85" s="11" t="inlineStr">
        <is>
          <t>Include</t>
        </is>
      </c>
      <c r="P85" s="11" t="n"/>
      <c r="Q85" s="11" t="n"/>
      <c r="R85" s="12" t="inlineStr">
        <is>
          <t>Include</t>
        </is>
      </c>
      <c r="S85" s="11" t="inlineStr">
        <is>
          <t>High</t>
        </is>
      </c>
      <c r="T85" s="11" t="n"/>
      <c r="U85" s="11" t="inlineStr">
        <is>
          <t>Summary supplied in tables.pdf (not independently verified): AI models generally performed well on conventional HTML/CSS tasks and SVG data visualization but struggled to reconstruct a reference logo using specified SVG primitives. One Grok model reproduced a visually similar logo using dense polygons, bypassing the intended structural constraint. Directly supplying the image improved results, but models still struggled to satisfy the complete geometric requirements. MOSS detected up to 40% similarity between some AI-generated CSS files.</t>
        </is>
      </c>
      <c r="V85" s="11" t="n"/>
      <c r="W85" s="11" t="inlineStr">
        <is>
          <t>Detailed extraction imported from tables.docx. Source recommendation retained separately; verify against full text before final screening. Source row has bibliographic details only; extraction incomplete.
Updated from tables.pdf, entry 21, PDF page(s) 19, 20. Source recommendations and reported outcomes require full-text verification.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85" s="20">
        <f>IF(G85="","",IF(F85="","",IF(AND(F85&gt;=2022,F85&lt;=2024),"Review 2026 applicability","")))</f>
        <v/>
      </c>
      <c r="AE85" s="20">
        <f>IF(G85="","",IF(OR(E85="",F85="",I85="",V85=""),"Missing author/year/link/screener",""))</f>
        <v/>
      </c>
      <c r="AF85" s="20">
        <f>IF(G85="","",IF(I85="","",IF(COUNTIF($I$2:$I$100,I85)&gt;1,"Check duplicate","")))</f>
        <v/>
      </c>
      <c r="AG85" s="20">
        <f>IF(G85="","",IF(M85="Yes","Duplicate",IF(OR(R85="",R85="Pending"),"Review pending","")))</f>
        <v/>
      </c>
      <c r="AO85" s="20" t="inlineStr">
        <is>
          <t>Investigates whether AI models can solve programming assessment tasks and whether assignments requiring visual and geometric reasoning are more resistant to automated solutions. Primary category: Unsupervised Assessment. Also discusses Supervised Assessment and Process Evidence.</t>
        </is>
      </c>
      <c r="AP85" s="20" t="inlineStr">
        <is>
          <t>Incorporate programming tasks requiring visual reasoning, geometric decomposition, structural understanding and explainable design decisions. The authors also recommend combining take-home assignments with supervised assessments and iterative project reviews. These are proposed approaches, not experimentally validated student interventions.</t>
        </is>
      </c>
      <c r="AQ85" s="20" t="inlineStr">
        <is>
          <t>Direct. Investigates contemporary GenAI tools used to generate programming solutions and evaluates their limitations in tasks requiring structural and spatial reasoning.</t>
        </is>
      </c>
      <c r="AR85" s="20" t="inlineStr">
        <is>
          <t>Directly relevant to designing authentic and secure programming assessments in AI-rich environments. Particularly useful for examining the vulnerability of unsupervised programming tasks, the limitations of AI-resistant design and the trade-offs between assessment security and scalability. Discipline: Higher Education, Computer Science / Front-End Web Development, New Zealand.</t>
        </is>
      </c>
      <c r="AS85" s="20" t="inlineStr">
        <is>
          <t>Single course and assignment; model performance reflects a particular period and set of prompts. The initial visual task was affected by whether models could access the linked reference image. The study does not directly test whether redesigned assessments improve student learning or prevent cheating. Student performance differences are observational and do not establish actual GenAI misuse.</t>
        </is>
      </c>
      <c r="AT85" s="20" t="inlineStr">
        <is>
          <t>Include, primary empirical evidence about assessment vulnerability, but classify proposed redesign strategies separately from experimentally evaluated interventions.</t>
        </is>
      </c>
      <c r="AU85" s="20" t="n"/>
      <c r="AV85" s="20" t="n"/>
      <c r="AW85" s="20" t="n"/>
      <c r="AX85" s="20" t="inlineStr">
        <is>
          <t>Main synthesis, assessment evidence</t>
        </is>
      </c>
      <c r="AY85" s="20" t="inlineStr">
        <is>
          <t>Tighter relevance screen of supplied title, context and summary; not a new full-text assessment.</t>
        </is>
      </c>
      <c r="AZ85" s="20" t="inlineStr">
        <is>
          <t>Direct higher-education Computing/IT evidence on assessment design, assessment security, integrity or verification of individual understanding.</t>
        </is>
      </c>
      <c r="BA85" s="20" t="inlineStr">
        <is>
          <t>Not independently checked against original full text.</t>
        </is>
      </c>
    </row>
    <row r="86" ht="158.45" customHeight="1">
      <c r="A86" s="11" t="inlineStr">
        <is>
          <t>R85</t>
        </is>
      </c>
      <c r="B86" s="11" t="inlineStr">
        <is>
          <t>15/10/2026</t>
        </is>
      </c>
      <c r="C86" s="11" t="inlineStr">
        <is>
          <t>15.10.2026.pdf, Paper 1</t>
        </is>
      </c>
      <c r="D86" s="23" t="inlineStr">
        <is>
          <t>Examining the influence of item exposure and retrieval practice effects on test performance in a large-scale workforce development training programme
Source file: 15.10.2026.pdf</t>
        </is>
      </c>
      <c r="E86" s="11" t="inlineStr">
        <is>
          <t>Anyidoho, P. A.; Berenbon, R.; McHugh, B.</t>
        </is>
      </c>
      <c r="F86" s="11" t="n">
        <v>2024</v>
      </c>
      <c r="G86" s="11" t="inlineStr">
        <is>
          <t>Examining the influence of item exposure and retrieval practice effects on test performance in a large-scale workforce development training programme</t>
        </is>
      </c>
      <c r="H86" s="11" t="inlineStr">
        <is>
          <t>International Journal of Training and Development, 28(2), 232-253</t>
        </is>
      </c>
      <c r="I86" s="11" t="inlineStr">
        <is>
          <t>https://doi.org/10.1111/ijtd.12321</t>
        </is>
      </c>
      <c r="J86" s="11" t="inlineStr">
        <is>
          <t>Journal article</t>
        </is>
      </c>
      <c r="K86" s="11" t="inlineStr">
        <is>
          <t>Empirical analysis: 14,302 learners, 352 trainers, 261 training centres</t>
        </is>
      </c>
      <c r="L86" s="11" t="inlineStr">
        <is>
          <t>Indirect: workforce training, not computing or GenAI</t>
        </is>
      </c>
      <c r="M86" s="11" t="inlineStr">
        <is>
          <t>No</t>
        </is>
      </c>
      <c r="N86" s="11" t="n"/>
      <c r="O86" s="11" t="inlineStr">
        <is>
          <t>Exclude</t>
        </is>
      </c>
      <c r="P86" s="11" t="n"/>
      <c r="Q86" s="11" t="inlineStr">
        <is>
          <t>E1</t>
        </is>
      </c>
      <c r="R86" s="12" t="inlineStr">
        <is>
          <t>Exclude</t>
        </is>
      </c>
      <c r="S86" s="11" t="n"/>
      <c r="T86" s="11" t="n"/>
      <c r="U86" s="11" t="inlineStr">
        <is>
          <t>Summary supplied in 15.10.2026.pdf (not independently verified): The study analysed a large dataset involving 14,302 learners, 352 trainers and 261 training centres. ; Pretesting was associated with higher post-test scores, suggesting that previous testing experiences can influence subsequent performance. ; Exposure to assessment items and retrieval practice are important considerations when interpreting test results. ; Assessment scores may reflect both students' learning and their previous experiences with testing. ; Assessment design should consider how testing practices influence performance when evaluating learning outcomes.</t>
        </is>
      </c>
      <c r="V86" s="11" t="n"/>
      <c r="W86" s="11" t="inlineStr">
        <is>
          <t>Added detailed source summary from 15.10.2026.pdf, Paper 1. Verify against original article. Computing applications and RQ mapping are source interpretations.
16/10/2026 relevance decision: Exclude. Workforce-development training rather than tertiary education; retain as background on item exposure and test validity.</t>
        </is>
      </c>
      <c r="AD86" s="20">
        <f>IF(G86="","",IF(F86="","",IF(AND(F86&gt;=2022,F86&lt;=2024),"Review 2026 applicability","")))</f>
        <v/>
      </c>
      <c r="AE86" s="20">
        <f>IF(G86="","",IF(OR(E86="",F86="",I86="",V86=""),"Missing author/year/link/screener",""))</f>
        <v/>
      </c>
      <c r="AF86" s="20">
        <f>IF(G86="","",IF(I86="","",IF(COUNTIF($I$2:$I$100,I86)&gt;1,"Check duplicate","")))</f>
        <v/>
      </c>
      <c r="AG86" s="20">
        <f>IF(G86="","",IF(M86="Yes","Duplicate",IF(OR(R86="",R86="Pending"),"Review pending","")))</f>
        <v/>
      </c>
      <c r="AO86" s="20" t="inlineStr">
        <is>
          <t>Learning gain measurement ; Formative assessment ; Retrieval practice ; Assessment validity and reliability ; Evidence-based assessment design</t>
        </is>
      </c>
      <c r="AP86" s="20" t="inlineStr">
        <is>
          <t>Pre-test and post-test assessments ; Measurement of individual learning gains ; Retrieval practice activities ; Comparison of initial and final performance ; Assessment of knowledge retention ; Combination of quiz scores with practical application tasks</t>
        </is>
      </c>
      <c r="AQ86" s="20" t="inlineStr">
        <is>
          <t>Indirect: workforce training, not computing or GenAI</t>
        </is>
      </c>
      <c r="AR86" s="20" t="inlineStr">
        <is>
          <t>This paper provides useful evidence for our project because it highlights that assessment performance can be influenced by factors beyond students' actual knowledge and understanding. If students have previously encountered similar questions, their scores may reflect familiarity with the assessment rather than their ability to apply knowledge independently. This is particularly important in GenAI-supported education, where students may use AI tools to prepare answers or practise familiar questions. Measuring improvement between pre-tests and post-tests, alongside other forms of assessment, can provide additional evidence of learning. The paper supports our project objective of developing assessment approaches that evaluate students' progress more effectively while recognising the limitations of relying exclusively on final assessment scores.</t>
        </is>
      </c>
      <c r="AS86" s="20" t="inlineStr">
        <is>
          <t>The study focuses on workforce development training rather than specifically on higher education computing assessments. Therefore, its findings need to be interpreted carefully when applying them to programming, software engineering or other computing disciplines. Although pretesting was associated with higher post-test scores, this does not necessarily mean that all improvement resulted from deeper learning. Familiarity with questions and repeated exposure to assessment content may also influence performance. Furthermore, learning-gain measurements alone cannot establish whether students can independently apply their knowledge to unfamiliar problems. Additional assessment methods are needed to evaluate deeper understanding and practical capability.</t>
        </is>
      </c>
      <c r="AT86" s="20" t="n"/>
      <c r="AU86" s="20" t="inlineStr">
        <is>
          <t>RQ1: Supports the use of pre-tests and post-tests to provide additional evidence of learning progress and improve the evaluation of student achievement. RQ2: Helps identify assessment-related factors, including previous exposure to questions and retrieval practice, that may influence test performance. RQ4: Highlights potential limitations of relying on test scores alone, although the study does not directly investigate the vulnerability of computing assessments to GenAI. RQ5: Supports a broader assessment approach that combines learning-gain measurement with other assessment methods to evaluate student progress and capability in GenAI-supported learning environments.</t>
        </is>
      </c>
      <c r="AV86" s="20" t="inlineStr">
        <is>
          <t>The paper is useful for understanding why final quiz marks alone may not provide sufficient evidence of students' learning. Comparing students' knowledge before and after a learning activity can help identify improvement that may not be visible from final scores alone. It also supports the broader direction of our project by encouraging the use of multiple assessment methods rather than relying exclusively on a single test. In GenAI-rich educational environments, combining learning-gain measurements with practical tasks, explanations and unfamiliar problems may provide stronger evidence of individual student achievement.</t>
        </is>
      </c>
      <c r="AW86" s="20" t="inlineStr">
        <is>
          <t>Anyidoho, P. A., Berenbon, R., &amp; McHugh, B. (2024). Examining the influence of item exposure and retrieval practice effects on test performance in a large-scale workforce development training programme. International Journal of Training and Development, 28(2), 232-253. https://doi.org/10.1111/ijtd.12321</t>
        </is>
      </c>
      <c r="AX86" s="20" t="inlineStr">
        <is>
          <t>Background only / outside sample</t>
        </is>
      </c>
      <c r="AY86" s="20" t="inlineStr">
        <is>
          <t>Assistant relevance assessment of supplied title and summary; user authorised selection.</t>
        </is>
      </c>
      <c r="AZ86" s="20" t="inlineStr">
        <is>
          <t>Workforce-development training rather than tertiary education; retain as background on item exposure and test validity.</t>
        </is>
      </c>
      <c r="BA86" s="20" t="inlineStr">
        <is>
          <t>Not independently checked against original full text.</t>
        </is>
      </c>
    </row>
    <row r="87" ht="158.45" customHeight="1">
      <c r="A87" s="11" t="inlineStr">
        <is>
          <t>R86</t>
        </is>
      </c>
      <c r="B87" s="11" t="inlineStr">
        <is>
          <t>15/10/2026</t>
        </is>
      </c>
      <c r="C87" s="11" t="inlineStr">
        <is>
          <t>15.10.2026.pdf, Paper 2</t>
        </is>
      </c>
      <c r="D87" s="23" t="inlineStr">
        <is>
          <t>Effects of retrieval practice on retention and application of complex educational concepts
Source file: 15.10.2026.pdf</t>
        </is>
      </c>
      <c r="E87" s="11" t="n"/>
      <c r="F87" s="11" t="n">
        <v>2025</v>
      </c>
      <c r="G87" s="11" t="inlineStr">
        <is>
          <t>Effects of retrieval practice on retention and application of complex educational concepts</t>
        </is>
      </c>
      <c r="H87" s="11" t="inlineStr">
        <is>
          <t>Learning and Instruction, 100, Article 102219</t>
        </is>
      </c>
      <c r="I87" s="11" t="inlineStr">
        <is>
          <t>https://doi.org/10.1016/j.learninstruc.2025.102219</t>
        </is>
      </c>
      <c r="J87" s="11" t="inlineStr">
        <is>
          <t>Journal article</t>
        </is>
      </c>
      <c r="K87" s="11" t="inlineStr">
        <is>
          <t>Three experiments (N=309, 158 and 255); retrieval practice, restudy and quiz-answer comparisons; some one-week delayed assessments</t>
        </is>
      </c>
      <c r="L87" s="11" t="inlineStr">
        <is>
          <t>Indirect: general learning research; not a GenAI assessment study</t>
        </is>
      </c>
      <c r="M87" s="11" t="inlineStr">
        <is>
          <t>No</t>
        </is>
      </c>
      <c r="N87" s="11" t="n"/>
      <c r="O87" s="11" t="inlineStr">
        <is>
          <t>Exclude</t>
        </is>
      </c>
      <c r="P87" s="11" t="n"/>
      <c r="Q87" s="11" t="inlineStr">
        <is>
          <t>E3</t>
        </is>
      </c>
      <c r="R87" s="12" t="inlineStr">
        <is>
          <t>Exclude</t>
        </is>
      </c>
      <c r="S87" s="11" t="n"/>
      <c r="T87" s="11" t="n"/>
      <c r="U87" s="11" t="inlineStr">
        <is>
          <t>Summary supplied in 15.10.2026.pdf (not independently verified): The study examined retrieval practice across three experiments involving 309, 158 and 255 participants. ; Retrieval practice was compared with alternative approaches, including restudying and studying quiz answers. ; The researchers reported improved performance on application questions in the later experiments. ; Some assessments were conducted after a one-week delay, providing evidence about knowledge retention over time. ; The findings support assessing both the retention of knowledge and the ability to apply it, rather than focusing exclusively on immediate recall.</t>
        </is>
      </c>
      <c r="V87" s="11" t="n"/>
      <c r="W87" s="11" t="inlineStr">
        <is>
          <t>Added detailed source summary from 15.10.2026.pdf, Paper 2. Verify against original article. Author names missing from supplied reference. Computing applications and RQ mapping are source interpretations.
16/10/2026 relevance decision: Exclude. Retrieval-practice experiments without an AI/GenAI assessment context; retain for background, outside the main AI-assessment sample.</t>
        </is>
      </c>
      <c r="AD87" s="20">
        <f>IF(G87="","",IF(F87="","",IF(AND(F87&gt;=2022,F87&lt;=2024),"Review 2026 applicability","")))</f>
        <v/>
      </c>
      <c r="AE87" s="20">
        <f>IF(G87="","",IF(OR(E87="",F87="",I87="",V87=""),"Missing author/year/link/screener",""))</f>
        <v/>
      </c>
      <c r="AF87" s="20">
        <f>IF(G87="","",IF(I87="","",IF(COUNTIF($I$2:$I$100,I87)&gt;1,"Check duplicate","")))</f>
        <v/>
      </c>
      <c r="AG87" s="20">
        <f>IF(G87="","",IF(M87="Yes","Duplicate",IF(OR(R87="",R87="Pending"),"Review pending","")))</f>
        <v/>
      </c>
      <c r="AO87" s="20" t="inlineStr">
        <is>
          <t>Retrieval-based assessment ; Knowledge retention measurement ; Transfer of learning ; Authentic assessment ; Delayed assessment ; Application-based assessment</t>
        </is>
      </c>
      <c r="AP87" s="20" t="inlineStr">
        <is>
          <t>Short quizzes to encourage retrieval practice ; Unfamiliar programming and computing problems ; Delayed assessments to measure knowledge retention ; Practical application of learned concepts ; Explanation and justification of solutions ; Comparison of immediate performance with delayed performance</t>
        </is>
      </c>
      <c r="AQ87" s="20" t="inlineStr">
        <is>
          <t>Indirect: general learning research; not a GenAI assessment study</t>
        </is>
      </c>
      <c r="AR87" s="20" t="inlineStr">
        <is>
          <t>This paper provides useful support for our project because it highlights the importance of assessing more than immediate recall. In GenAI-supported education, students may use AI tools to generate answers or complete familiar assessment questions without necessarily developing lasting understanding. Assessing students' ability to apply concepts to unfamiliar problems and retain knowledge over time can provide stronger evidence of learning. For example, computing students could be asked to solve a new programming problem, construct an SQL query for an unfamiliar database or explain their decisions when designing a system. This aligns with our project's objective of developing assessment strategies that verify students' individual understanding and practical capability rather than relying only on the quality of their final submissions.</t>
        </is>
      </c>
      <c r="AS87" s="20" t="inlineStr">
        <is>
          <t>The study focuses on retrieval practice and learning outcomes rather than directly investigating the effects of GenAI on academic assessment. Therefore, it does not establish whether retrieval practice alone can prevent students from submitting AI-generated work or verify independent student achievement. Its findings also need to be interpreted in the context of the specific experiments, participants and learning materials used. Results from general educational concepts may not transfer directly to every computing subject. Although retrieval practice can support retention and application, it should be combined with other assessment methods when the objective is to establish whether students can independently solve unfamiliar computing problems.</t>
        </is>
      </c>
      <c r="AT87" s="20" t="n"/>
      <c r="AU87" s="20" t="inlineStr">
        <is>
          <t>RQ1: Supports assessment strategies that evaluate knowledge retention and practical application as additional evidence of student learning. RQ2: Helps explain why immediate test performance may not fully demonstrate lasting understanding or the ability to apply knowledge independently. RQ4: Supports the use of unfamiliar and delayed assessments to examine whether students can apply knowledge beyond familiar questions, although the study does not directly measure GenAI-related assessment vulnerability. RQ5: Supports combining retrieval practice, delayed assessment and application-based tasks within a broader assessment approach suitable for GenAI-supported education.</t>
        </is>
      </c>
      <c r="AV87" s="20" t="inlineStr">
        <is>
          <t>The paper is useful because it supports assessment strategies that evaluate whether students can retain and apply what they have learned. This is particularly important when GenAI tools can produce correct answers or complete familiar tasks quickly. For computing education, students could be assessed using unfamiliar programming problems, practical database tasks or system-design scenarios. Asking students to explain their reasoning and justify their decisions would provide further evidence of individual understanding. Combining retrieval practice with delayed assessments and practical application tasks may therefore help our project develop more reliable ways of evaluating student learning in AI-rich educational environments.</t>
        </is>
      </c>
      <c r="AW87" s="20" t="inlineStr">
        <is>
          <t>Effects of retrieval practice on retention and application of complex educational concepts. (2025). Learning and Instruction, 100, Article 102219. https://doi.org/10.1016/j.learninstruc.2025.102219</t>
        </is>
      </c>
      <c r="AX87" s="20" t="inlineStr">
        <is>
          <t>Background only / outside sample</t>
        </is>
      </c>
      <c r="AY87" s="20" t="inlineStr">
        <is>
          <t>Assistant relevance assessment of supplied title and summary; user authorised selection.</t>
        </is>
      </c>
      <c r="AZ87" s="20" t="inlineStr">
        <is>
          <t>Retrieval-practice experiments without an AI/GenAI assessment context; retain for background, outside the main AI-assessment sample.</t>
        </is>
      </c>
      <c r="BA87" s="20" t="inlineStr">
        <is>
          <t>Not independently checked against original full text.</t>
        </is>
      </c>
    </row>
    <row r="88" ht="158.45" customHeight="1">
      <c r="A88" s="11" t="inlineStr">
        <is>
          <t>R87</t>
        </is>
      </c>
      <c r="B88" s="11" t="inlineStr">
        <is>
          <t>15/10/2026</t>
        </is>
      </c>
      <c r="C88" s="11" t="inlineStr">
        <is>
          <t>15.10.2026.pdf, Paper 4</t>
        </is>
      </c>
      <c r="D88" s="23" t="inlineStr">
        <is>
          <t>Implementing generative AI (GenAI) in higher education: A systematic review of case studies
Source file: 15.10.2026.pdf</t>
        </is>
      </c>
      <c r="E88" s="11" t="inlineStr">
        <is>
          <t>Belkina, M.; Daniel, S.; Nikolic, S.; Haque, R.; Lyden, S.; Neal, P.; Grundy, S.; Hassan, G. M.</t>
        </is>
      </c>
      <c r="F88" s="11" t="n">
        <v>2025</v>
      </c>
      <c r="G88" s="11" t="inlineStr">
        <is>
          <t>Implementing generative AI (GenAI) in higher education: A systematic review of case studies</t>
        </is>
      </c>
      <c r="H88" s="11" t="inlineStr">
        <is>
          <t>Computers and Education: Artificial Intelligence, 8, Article 100407</t>
        </is>
      </c>
      <c r="I88" s="11" t="inlineStr">
        <is>
          <t>https://doi.org/10.1016/j.caeai.2025.100407</t>
        </is>
      </c>
      <c r="J88" s="11" t="inlineStr">
        <is>
          <t>Journal article</t>
        </is>
      </c>
      <c r="K88" s="11" t="inlineStr">
        <is>
          <t>Systematic review of 21 empirical studies; Conversational Framework, SAMR and TPACK</t>
        </is>
      </c>
      <c r="L88" s="11" t="inlineStr">
        <is>
          <t>Direct GenAI; higher education across disciplines</t>
        </is>
      </c>
      <c r="M88" s="11" t="inlineStr">
        <is>
          <t>No</t>
        </is>
      </c>
      <c r="N88" s="11" t="n"/>
      <c r="O88" s="11" t="inlineStr">
        <is>
          <t>Include</t>
        </is>
      </c>
      <c r="P88" s="11" t="n"/>
      <c r="Q88" s="11" t="n"/>
      <c r="R88" s="12" t="inlineStr">
        <is>
          <t>Background</t>
        </is>
      </c>
      <c r="S88" s="11" t="n"/>
      <c r="T88" s="11" t="n"/>
      <c r="U88" s="11" t="inlineStr">
        <is>
          <t>Summary supplied in 15.10.2026.pdf (not independently verified): The review identified 21 empirical studies of GenAI implementation in higher education. ; The included studies covered different disciplines, participant groups, locations and research methods. ; The researchers classified studies using educational frameworks to understand how GenAI was integrated into teaching and learning. ; The review identified shortages in research on practical and innovative applications of GenAI in education. ; The authors provided a GenAI-TPACK framework to guide educators in integrating GenAI into educational practice. These findings describe the review's scope and conclusions; they should not be interpreted as proof that GenAI improves assessment outcomes in every educational context.</t>
        </is>
      </c>
      <c r="V88" s="11" t="n"/>
      <c r="W88" s="11" t="inlineStr">
        <is>
          <t>Added detailed source summary from 15.10.2026.pdf, Paper 4. Verify against original article. Computing applications and RQ mapping are source interpretations.
16/10/2026 relevance decision: Include. Relevant conceptual, learning-process, AI-literacy or institutional context; use as supporting evidence, not proof of assessment effectiveness.
Revised strict-scope decision: Background only. Secondary synthesis or broad review; retain to frame or locate primary studies, outside the direct assessment-study synthesis.</t>
        </is>
      </c>
      <c r="AD88" s="20">
        <f>IF(G88="","",IF(F88="","",IF(AND(F88&gt;=2022,F88&lt;=2024),"Review 2026 applicability","")))</f>
        <v/>
      </c>
      <c r="AE88" s="20">
        <f>IF(G88="","",IF(OR(E88="",F88="",I88="",V88=""),"Missing author/year/link/screener",""))</f>
        <v/>
      </c>
      <c r="AF88" s="20">
        <f>IF(G88="","",IF(I88="","",IF(COUNTIF($I$2:$I$100,I88)&gt;1,"Check duplicate","")))</f>
        <v/>
      </c>
      <c r="AG88" s="20">
        <f>IF(G88="","",IF(M88="Yes","Duplicate",IF(OR(R88="",R88="Pending"),"Review pending","")))</f>
        <v/>
      </c>
      <c r="AO88" s="20" t="inlineStr">
        <is>
          <t>Assessment redesign ; Responsible GenAI integration ; AI literacy development ; Technology-enhanced learning ; Evidence-based educational practice</t>
        </is>
      </c>
      <c r="AP88" s="20" t="inlineStr">
        <is>
          <t>Integrating GenAI into learning activities ; Aligning assessment with learning objectives ; AI-assisted programming and debugging tasks ; Critical evaluation of AI-generated outputs ; Individual demonstrations of technical understanding ; Evidence-based assessment design ; Further empirical evaluation of assessment approaches</t>
        </is>
      </c>
      <c r="AQ88" s="20" t="inlineStr">
        <is>
          <t>Direct GenAI; higher education across disciplines</t>
        </is>
      </c>
      <c r="AR88" s="20" t="inlineStr">
        <is>
          <t>This paper provides a broader research foundation for our project by examining how GenAI is being implemented in real higher education settings. It helps identify opportunities to integrate AI into learning and assessment while recognising the need for appropriate teaching strategies and implementation guidance. For computing education, GenAI may support programming practice, code explanation, debugging and software development activities. However, the presence of AI in these activities does not automatically demonstrate that students have developed the relevant skills. Our project can build on this review by focusing specifically on assessment methods that establish whether students can understand, evaluate and independently apply computing concepts when AI tools are available.</t>
        </is>
      </c>
      <c r="AS88" s="20" t="inlineStr">
        <is>
          <t>The paper is a systematic review rather than a single experimental study comparing specific assessment methods. Its findings depend on the studies included in the review and the quality of the evidence those studies provide. The review covers higher education broadly and does not establish that a particular assessment strategy is the most effective for computing disciplines. Furthermore, evidence about GenAI implementation should not be confused with evidence that assessment validity or academic integrity has improved. Additional research is needed to determine which assessment designs reliably measure individual student capability.</t>
        </is>
      </c>
      <c r="AT88" s="20" t="n"/>
      <c r="AU88" s="20" t="inlineStr">
        <is>
          <t>RQ1: Provides background on how GenAI implementation can influence teaching, learning and assessment design in higher education. RQ2: Identifies implementation challenges and research gaps relevant to the responsible use of GenAI in education. RQ4: Helps frame the need to investigate assessment approaches that remain reliable when students have access to AI tools, although the review is not a direct assessment-vulnerability experiment. RQ5: Supports further investigation of practical and evidence-based assessment strategies for GenAI-supported learning environments.</t>
        </is>
      </c>
      <c r="AV88" s="20" t="inlineStr">
        <is>
          <t>The paper helps establish the broader context for our project and highlights the need for more evidence about effective GenAI implementation. It supports the view that assessment redesign should be connected to learning objectives, teaching methods and the capabilities students need to develop. In computing education, assessments could combine AI-assisted activities with individual demonstrations of technical understanding. For example, students could use GenAI to debug a program and then explain the underlying error, evaluate the proposed fix and independently solve a similar problem. This would help distinguish the use of AI as a learning aid from evidence of individual competence.</t>
        </is>
      </c>
      <c r="AW88" s="20" t="inlineStr">
        <is>
          <t>Belkina, M., Daniel, S., Nikolic, S., Haque, R., Lyden, S., Neal, P., Grundy, S., &amp; Hassan, G. M. (2025). Implementing generative AI (GenAI) in higher education: A systematic review of case studies. Computers and Education: Artificial Intelligence, 8, Article 100407. https://doi.org/10.1016/j.caeai.2025.100407</t>
        </is>
      </c>
      <c r="AX88" s="20" t="inlineStr">
        <is>
          <t>Background, outside main synthesis</t>
        </is>
      </c>
      <c r="AY88" s="20" t="inlineStr">
        <is>
          <t>Tighter relevance screen of supplied title, context and summary; not a new full-text assessment.</t>
        </is>
      </c>
      <c r="AZ88" s="20" t="inlineStr">
        <is>
          <t>Secondary synthesis or broad review; retain to frame or locate primary studies, outside the direct assessment-study synthesis.</t>
        </is>
      </c>
      <c r="BA88" s="20" t="inlineStr">
        <is>
          <t>Not independently checked against original full text.</t>
        </is>
      </c>
    </row>
    <row r="89" ht="145.15" customHeight="1">
      <c r="A89" s="11" t="inlineStr">
        <is>
          <t>R88</t>
        </is>
      </c>
      <c r="B89" s="11" t="inlineStr">
        <is>
          <t>15/10/2026</t>
        </is>
      </c>
      <c r="C89" s="11" t="inlineStr">
        <is>
          <t>15.10.2026.pdf, Paper 6</t>
        </is>
      </c>
      <c r="D89" s="23" t="inlineStr">
        <is>
          <t>Beyond the ban: A theoretical framework for integrating Generative AI in assessment
Source file: 15.10.2026.pdf</t>
        </is>
      </c>
      <c r="E89" s="11" t="inlineStr">
        <is>
          <t>Chapman, E.; Dalgarno, B.</t>
        </is>
      </c>
      <c r="F89" s="11" t="n">
        <v>2025</v>
      </c>
      <c r="G89" s="11" t="inlineStr">
        <is>
          <t>Beyond the ban: A theoretical framework for integrating Generative AI in assessment</t>
        </is>
      </c>
      <c r="H89" s="11" t="inlineStr">
        <is>
          <t>Policy Futures in Education. Online publication 2025; journal issue 2026 (per supplied PDF)</t>
        </is>
      </c>
      <c r="I89" s="11" t="inlineStr">
        <is>
          <t>https://doi.org/10.1177/14782103251411725</t>
        </is>
      </c>
      <c r="J89" s="11" t="inlineStr">
        <is>
          <t>Journal article</t>
        </is>
      </c>
      <c r="K89" s="11" t="inlineStr">
        <is>
          <t>Theoretical framework; authenticity, cognitive demand and evidence provenance; no experimental comparison</t>
        </is>
      </c>
      <c r="L89" s="11" t="inlineStr">
        <is>
          <t>Direct GenAI; cross-disciplinary assessment governance</t>
        </is>
      </c>
      <c r="M89" s="11" t="inlineStr">
        <is>
          <t>No</t>
        </is>
      </c>
      <c r="N89" s="11" t="n"/>
      <c r="O89" s="11" t="inlineStr">
        <is>
          <t>Include</t>
        </is>
      </c>
      <c r="P89" s="11" t="n"/>
      <c r="Q89" s="11" t="n"/>
      <c r="R89" s="12" t="inlineStr">
        <is>
          <t>Background</t>
        </is>
      </c>
      <c r="S89" s="11" t="n"/>
      <c r="T89" s="11" t="n"/>
      <c r="U89" s="11" t="inlineStr">
        <is>
          <t>Summary supplied in 15.10.2026.pdf (not independently verified): As a theoretical framework paper, its main contributions are proposed principles and practical design approaches rather than experimentally measured outcomes. ; Assessment redesign should respond to the capabilities of GenAI rather than relying exclusively on traditional assessment formats. ; Assessment tasks should reflect authentic learning and professional practices. ; Cognitive demand should be considered when deciding whether AI use is appropriate. ; Evidence about how work was produced can strengthen assessment decisions. ; A layered approach involving institutional policy, teaching practices and assessment design can support academic integrity. ; Practical examples include oral defence supported by an artefact trail, cohort-specific data briefs and practical tasks using constrained tools.</t>
        </is>
      </c>
      <c r="V89" s="11" t="n"/>
      <c r="W89" s="11" t="inlineStr">
        <is>
          <t>Added detailed source summary from 15.10.2026.pdf, Paper 6. Verify against original article. Year follows 2025 online publication; supplied PDF also notes 2026 issue. Computing applications and RQ mapping are source interpretations.
16/10/2026 relevance decision: Include. Relevant conceptual, learning-process, AI-literacy or institutional context; use as supporting evidence, not proof of assessment effectiveness.
Revised strict-scope decision: Background only. Broad AI, learning, literacy or policy context, or insufficient direct assessment-design evidence in the supplied summary; retain for background only.</t>
        </is>
      </c>
      <c r="AD89" s="20">
        <f>IF(G89="","",IF(F89="","",IF(AND(F89&gt;=2022,F89&lt;=2024),"Review 2026 applicability","")))</f>
        <v/>
      </c>
      <c r="AE89" s="20">
        <f>IF(G89="","",IF(OR(E89="",F89="",I89="",V89=""),"Missing author/year/link/screener",""))</f>
        <v/>
      </c>
      <c r="AF89" s="20">
        <f>IF(G89="","",IF(I89="","",IF(COUNTIF($I$2:$I$100,I89)&gt;1,"Check duplicate","")))</f>
        <v/>
      </c>
      <c r="AG89" s="20">
        <f>IF(G89="","",IF(M89="Yes","Duplicate",IF(OR(R89="",R89="Pending"),"Review pending","")))</f>
        <v/>
      </c>
      <c r="AO89" s="20" t="inlineStr">
        <is>
          <t>Assessment redesign ; Authentic assessment ; Transparent and responsible GenAI use ; Process-based assessment ; Academic integrity ; Assessment governance</t>
        </is>
      </c>
      <c r="AP89" s="20" t="inlineStr">
        <is>
          <t>Oral defence supported by an artefact trail ; Staged submissions and development records ; Cohort-specific assessment materials ; Practical tasks with constrained tools ; Transparent AI-use instructions ; Assessment aligned with cognitive demand ; Evidence of student contribution and decision-making ; Institutional policies and consistent marking procedures</t>
        </is>
      </c>
      <c r="AQ89" s="20" t="inlineStr">
        <is>
          <t>Direct GenAI; cross-disciplinary assessment governance</t>
        </is>
      </c>
      <c r="AR89" s="20" t="inlineStr">
        <is>
          <t>This paper provides a useful framework for our project because it shifts the focus from simply detecting AI-generated work to designing assessments that provide credible evidence of learning. The authors argue that assessment should consider what students need to learn, whether the task requires meaningful cognitive effort and what evidence can demonstrate the student's contribution. For computing education, this could involve asking students to develop a software solution, document their design decisions, demonstrate their code and explain how they evaluated AI- generated suggestions. The framework aligns with our project's objective of recommending assessment combinations that balance authentic learning, responsible AI use and verification of individual student competence.</t>
        </is>
      </c>
      <c r="AS89" s="20" t="inlineStr">
        <is>
          <t>The paper is primarily theoretical and does not report an experimental comparison demonstrating that its proposed framework improves assessment validity or academic integrity. Its recommendations therefore need to be evaluated against empirical studies before they can be treated as established best practices. The framework also requires adaptation to individual disciplines. Computing assessments involve technical outcomes, such as program correctness, security and system performance, that may require specific evaluation methods beyond general assessment-design principles. Finally, collecting detailed process evidence or conducting individual oral defences can increase staff workload. Implementation must consider class size, available resources, fairness and accessibility.</t>
        </is>
      </c>
      <c r="AT89" s="20" t="n"/>
      <c r="AU89" s="20" t="inlineStr">
        <is>
          <t>RQ1: Supports redesigning assessments to provide evidence of individual understanding, technical competence and the process used to produce work. RQ2: Helps identify assessment-design and governance challenges associated with GenAI, including authenticity, cognitive demand and evidence provenance. RQ4: Provides a framework for analysing how assessment vulnerability can be reduced through task design and additional evidence, although it does not experimentally measure vulnerability. RQ5: Supports integrating GenAI responsibly through coordinated assessment design, transparent policies and evidence-based verification of student learning.</t>
        </is>
      </c>
      <c r="AV89" s="20" t="inlineStr">
        <is>
          <t>The paper is particularly useful for organising the assessment methods examined in our systematic literature review. It encourages us to consider not only which assessment formats to use, but also why a particular combination is appropriate for a learning outcome. For example, a large programming class might use automated tests and staged code submissions for scalability, with targeted oral defences or supervised practical tasks to verify individual understanding. A smaller software-engineering class might use more detailed project reviews and individual demonstrations. This provides a foundation for recommendations that account for learning outcomes, class size, staff workload and the level of independent competence required.</t>
        </is>
      </c>
      <c r="AW89" s="20" t="inlineStr">
        <is>
          <t>Chapman, E., &amp; Dalgarno, B. (2025). Beyond the ban: A theoretical framework for integrating Generative AI in assessment. Policy Futures in Education. Advance online publication. https://doi.org/10.1177/14782103251411725 Publication note: The article was first published online on 23 December 2025 and subsequently appeared in the journal's 2026 issue.</t>
        </is>
      </c>
      <c r="AX89" s="20" t="inlineStr">
        <is>
          <t>Background, outside main synthesis</t>
        </is>
      </c>
      <c r="AY89" s="20" t="inlineStr">
        <is>
          <t>Tighter relevance screen of supplied title, context and summary; not a new full-text assessment.</t>
        </is>
      </c>
      <c r="AZ89" s="20" t="inlineStr">
        <is>
          <t>Broad AI, learning, literacy or policy context, or insufficient direct assessment-design evidence in the supplied summary; retain for background only.</t>
        </is>
      </c>
      <c r="BA89" s="20" t="inlineStr">
        <is>
          <t>Not independently checked against original full text.</t>
        </is>
      </c>
    </row>
    <row r="90" ht="144" customHeight="1">
      <c r="A90" s="11" t="inlineStr">
        <is>
          <t>R89</t>
        </is>
      </c>
      <c r="B90" s="11" t="inlineStr">
        <is>
          <t>16/10/2026</t>
        </is>
      </c>
      <c r="C90" s="11" t="inlineStr">
        <is>
          <t>tables.pdf, entry 22</t>
        </is>
      </c>
      <c r="D90" s="23" t="inlineStr">
        <is>
          <t>CodeNest: A Web Application for Conducting and Managing Timed Coding Lab Assignments with Student-Faculty Interaction
Source file: tables.pdf</t>
        </is>
      </c>
      <c r="E90" s="11" t="inlineStr">
        <is>
          <t>Shripad Bhatlawande; Vaishnavi Deshmukh; Ameya Date; Prutha Deshpande</t>
        </is>
      </c>
      <c r="F90" s="11" t="n">
        <v>2025</v>
      </c>
      <c r="G90" s="11" t="inlineStr">
        <is>
          <t>CodeNest: A Web Application for Conducting and Managing Timed Coding Lab Assignments with Student-Faculty Interaction</t>
        </is>
      </c>
      <c r="H90" s="11" t="inlineStr">
        <is>
          <t>IEEE 2025 International Conference on Emerging Trends in Computing and Communication (ETCOM), Mangalore, India. Conference research paper,</t>
        </is>
      </c>
      <c r="I90" s="11" t="inlineStr">
        <is>
          <t>https://doi.org/10.1109/ETCOM66606.2025.11436475</t>
        </is>
      </c>
      <c r="J90" s="11" t="inlineStr">
        <is>
          <t>Conference paper</t>
        </is>
      </c>
      <c r="K90" s="11" t="inlineStr">
        <is>
          <t>System development and empirical technical/usability evaluation. Built using Streamlit, React, Firebase, Express.js, Piston API and Gemini LLM. The abstract reports testing with 15 instructors and 200 students. Later sections report smaller survey and usability samples, including 12 faculty members and 50 or 80 students, depending on the section. Evaluation includes system performance, security testing, instructor feedback, usability and grading comparisons.</t>
        </is>
      </c>
      <c r="L90" s="11" t="inlineStr">
        <is>
          <t>Directly examines practical methods for improving the security and scalability of programming assessments. Provides evidence about controlled assessment environments, individualized questions, automatic grading and administrative workload. Discipline: Higher Education, Programming / Computing and Engineering Education, India.</t>
        </is>
      </c>
      <c r="M90" s="11" t="inlineStr">
        <is>
          <t>No</t>
        </is>
      </c>
      <c r="N90" s="11" t="n"/>
      <c r="O90" s="11" t="inlineStr">
        <is>
          <t>Include</t>
        </is>
      </c>
      <c r="P90" s="11" t="n"/>
      <c r="Q90" s="11" t="n"/>
      <c r="R90" s="12" t="inlineStr">
        <is>
          <t>Include</t>
        </is>
      </c>
      <c r="S90" s="11" t="inlineStr">
        <is>
          <t>High</t>
        </is>
      </c>
      <c r="T90" s="11" t="n"/>
      <c r="U90" s="11" t="inlineStr">
        <is>
          <t>Summary supplied in tables.pdf (not independently verified): The authors report a 68% reduction in faculty administrative time, 87% usability satisfaction, 85% grading-accuracy satisfaction, 84% of students reporting improved learning outcomes, and a 42% increase in practice attempts. Technical tests report 97% agreement between automated and instructor grading across 200 submissions, 98.7% prevention of tested browser- lockdown bypass attempts, and 94% of submissions receiving feedback within three seconds.</t>
        </is>
      </c>
      <c r="V90" s="11" t="n"/>
      <c r="W90" s="11" t="inlineStr">
        <is>
          <t>Updated from tables.pdf, entry 22, PDF page(s) 20, 21, 22. Source recommendations and reported outcomes require full-text verification.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90" s="20">
        <f>IF(G90="","",IF(F90="","",IF(AND(F90&gt;=2022,F90&lt;=2024),"Review 2026 applicability","")))</f>
        <v/>
      </c>
      <c r="AE90" s="20">
        <f>IF(G90="","",IF(OR(E90="",F90="",I90="",V90=""),"Missing author/year/link/screener",""))</f>
        <v/>
      </c>
      <c r="AF90" s="20">
        <f>IF(G90="","",IF(I90="","",IF(COUNTIF($I$2:$I$100,I90)&gt;1,"Check duplicate","")))</f>
        <v/>
      </c>
      <c r="AG90" s="20">
        <f>IF(G90="","",IF(M90="Yes","Duplicate",IF(OR(R90="",R90="Pending"),"Review pending","")))</f>
        <v/>
      </c>
      <c r="AO90" s="20" t="inlineStr">
        <is>
          <t>Develops and evaluates CodeNest, a cloud-based programming assessment platform with timed coding assignments, browser restrictions, individualized questions, automatic grading and performance analytics. Primary category: Supervised/Controlle d Assessment. Secondary: Personalized Tasks and Process Evidence.</t>
        </is>
      </c>
      <c r="AP90" s="20" t="inlineStr">
        <is>
          <t>Use time-limited coding assessments with restricted browser interactions, AI-generated individualized programming questions, automated grading, test-case evaluation and submission analytics. The platform aims to make unauthorized resource use more difficult while supporting rapid feedback.</t>
        </is>
      </c>
      <c r="AQ90" s="20" t="inlineStr">
        <is>
          <t>Direct but primarily through assessment generation. Gemini LLM generates context- specific coding questions based on instructor- selected topics and difficulty. GenAI is used to support assessment design; the study does not directly test whether students can circumvent the platform using external AI tools.</t>
        </is>
      </c>
      <c r="AR90" s="20" t="inlineStr">
        <is>
          <t>Directly examines practical methods for improving the security and scalability of programming assessments. Provides evidence about controlled assessment environments, individualized questions, automatic grading and administrative workload. Discipline: Higher Education, Programming / Computing and Engineering Education, India.</t>
        </is>
      </c>
      <c r="AS90" s="20" t="inlineStr">
        <is>
          <t>The study does not establish that the platform prevents GenAI-assisted misconduct. Browser lockdown is not equivalent to verified human supervision. Some reported participant counts are inconsistent across sections. The paper provides limited information about comparison groups and how reductions in cheating or administrati ve time were measured. Automatical ly generated questions varied in difficulty by up to 30%, and the grading system sometimes penalized correct but unconventio nal solutions. Accessibilit y and scalability limitations were also reported.</t>
        </is>
      </c>
      <c r="AT90" s="20" t="inlineStr">
        <is>
          <t>Include, empirical assessment-technology evidence, with methodological quality concerns. It is less directly informative about learning authenticity than studies involving oral verification or practical demonstrations.</t>
        </is>
      </c>
      <c r="AU90" s="20" t="n"/>
      <c r="AV90" s="20" t="n"/>
      <c r="AW90" s="20" t="n"/>
      <c r="AX90" s="20" t="inlineStr">
        <is>
          <t>Main synthesis, assessment evidence</t>
        </is>
      </c>
      <c r="AY90" s="20" t="inlineStr">
        <is>
          <t>Tighter relevance screen of supplied title, context and summary; not a new full-text assessment.</t>
        </is>
      </c>
      <c r="AZ90" s="20" t="inlineStr">
        <is>
          <t>Direct higher-education Computing/IT evidence on assessment design, assessment security, integrity or verification of individual understanding.</t>
        </is>
      </c>
      <c r="BA90" s="20" t="inlineStr">
        <is>
          <t>Not independently checked against original full text.</t>
        </is>
      </c>
    </row>
    <row r="91" ht="144" customHeight="1">
      <c r="A91" s="11" t="inlineStr">
        <is>
          <t>R90</t>
        </is>
      </c>
      <c r="B91" s="11" t="inlineStr">
        <is>
          <t>16/10/2026</t>
        </is>
      </c>
      <c r="C91" s="11" t="inlineStr">
        <is>
          <t>tables.pdf, entry 23</t>
        </is>
      </c>
      <c r="D91" s="23" t="inlineStr">
        <is>
          <t>Designing CS Assignments to Foster Cogitation in the AI Era
Source file: tables.pdf</t>
        </is>
      </c>
      <c r="E91" s="11" t="inlineStr">
        <is>
          <t>Jaya Veera Surendra Gupta Kurivella; Rajeshwari Deoraj; Marcia Moraes</t>
        </is>
      </c>
      <c r="F91" s="11" t="n">
        <v>2025</v>
      </c>
      <c r="G91" s="11" t="inlineStr">
        <is>
          <t>Designing CS Assignments to Foster Cogitation in the AI Era</t>
        </is>
      </c>
      <c r="H91" s="11" t="inlineStr">
        <is>
          <t>IEEE 2025 Frontiers in Education Conference (FIE). Full conference research paper</t>
        </is>
      </c>
      <c r="I91" s="11" t="inlineStr">
        <is>
          <t>https://doi.org/10.1109/FIE63693.2025.11328715</t>
        </is>
      </c>
      <c r="J91" s="11" t="inlineStr">
        <is>
          <t>Conference paper</t>
        </is>
      </c>
      <c r="K91" s="11" t="inlineStr">
        <is>
          <t>Empirical AI-performance evaluation and assignment-redesign study. The researchers examined 11 Python programming labs from an introductory university CS1 course. Two researchers acted as proxy students and used ChatGPT-4 to solve the original and redesigned assignments. They compared accuracy, task difficulty and number of prompts needed.</t>
        </is>
      </c>
      <c r="L91" s="11" t="inlineStr">
        <is>
          <t>Provides computing- specific evidence for redesigning assignments in response to GenAI capabilities. Particularly useful for discussing assessment authenticity, academic integrity, cognitive engagement and the limitations of conventional programming questions. Discipline: Higher Education, Introductory Computer Science (CS1), USA.</t>
        </is>
      </c>
      <c r="M91" s="11" t="inlineStr">
        <is>
          <t>No</t>
        </is>
      </c>
      <c r="N91" s="11" t="n"/>
      <c r="O91" s="11" t="inlineStr">
        <is>
          <t>Include</t>
        </is>
      </c>
      <c r="P91" s="11" t="n"/>
      <c r="Q91" s="11" t="n"/>
      <c r="R91" s="12" t="inlineStr">
        <is>
          <t>Include</t>
        </is>
      </c>
      <c r="S91" s="11" t="inlineStr">
        <is>
          <t>High</t>
        </is>
      </c>
      <c r="T91" s="11" t="n"/>
      <c r="U91" s="11" t="inlineStr">
        <is>
          <t>Summary supplied in tables.pdf (not independently verified): ChatGPT-4 achieved 100% accuracy on some basic labs, but performance declined on more complex tasks. Lab 10 achieved 65% accuracy after seven prompts, while Lab 11 achieved only 35% accuracy after ten prompts. Redesigned tasks, particularly flowchart-based questions, generally required more prompting and challenged ChatGPT's ability to produce immediate solutions.</t>
        </is>
      </c>
      <c r="V91" s="11" t="n"/>
      <c r="W91" s="11" t="inlineStr">
        <is>
          <t>Updated from tables.pdf, entry 23, PDF page(s) 22, 23. Source recommendations and reported outcomes require full-text verification.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91" s="20">
        <f>IF(G91="","",IF(F91="","",IF(AND(F91&gt;=2022,F91&lt;=2024),"Review 2026 applicability","")))</f>
        <v/>
      </c>
      <c r="AE91" s="20">
        <f>IF(G91="","",IF(OR(E91="",F91="",I91="",V91=""),"Missing author/year/link/screener",""))</f>
        <v/>
      </c>
      <c r="AF91" s="20">
        <f>IF(G91="","",IF(I91="","",IF(COUNTIF($I$2:$I$100,I91)&gt;1,"Check duplicate","")))</f>
        <v/>
      </c>
      <c r="AG91" s="20">
        <f>IF(G91="","",IF(M91="Yes","Duplicate",IF(OR(R91="",R91="Pending"),"Review pending","")))</f>
        <v/>
      </c>
      <c r="AO91" s="20" t="inlineStr">
        <is>
          <t>Investigates whether redesigning introductory programming assignments using flowcharts, diagrams, real-world scenarios and more complex reasoning tasks can reduce reliance on direct AI-generated solutions. Primary connection: Unsupervised Assessment. Secondary: Authentic Task Design and Process-Oriented Assessment.</t>
        </is>
      </c>
      <c r="AP91" s="20" t="inlineStr">
        <is>
          <t>Redesign conventional programming questions into contextualized, multi-step problems that require interpretation, algorithmic reasoning and iterative refinement. Incorporate flowcharts, visual diagrams and practical scenarios. Require explanations of reasoning as an additional assessment component, although this was not independently evaluated.</t>
        </is>
      </c>
      <c r="AQ91" s="20" t="inlineStr">
        <is>
          <t>Direct. ChatGPT- 4 was the AI system evaluated. The study examines how assignment structure affects its ability to generate programming solutions.</t>
        </is>
      </c>
      <c r="AR91" s="20" t="inlineStr">
        <is>
          <t>Provides computing- specific evidence for redesigning assignments in response to GenAI capabilities. Particularly useful for discussing assessment authenticity, academic integrity, cognitive engagement and the limitations of conventional programming questions. Discipline: Higher Education, Introductory Computer Science (CS1), USA.</t>
        </is>
      </c>
      <c r="AS91" s="20" t="inlineStr">
        <is>
          <t>No actual student intervention or measurement of learning outcomes. Only 11 labs from one course were studied. Researchers simulated student interactions, and prompt counts were treated as an indirect measure of difficulty or engagement . Model responses may vary, and findings from ChatGPT-4 may not generalize to newer models.</t>
        </is>
      </c>
      <c r="AT91" s="20" t="inlineStr">
        <is>
          <t>Include, primary empirical evidence about assignment redesign and AI performance. Do not classify it as a controlled student-learning intervention.</t>
        </is>
      </c>
      <c r="AU91" s="20" t="n"/>
      <c r="AV91" s="20" t="n"/>
      <c r="AW91" s="20" t="n"/>
      <c r="AX91" s="20" t="inlineStr">
        <is>
          <t>Main synthesis, design / preliminary evidence</t>
        </is>
      </c>
      <c r="AY91" s="20" t="inlineStr">
        <is>
          <t>Tighter relevance screen of supplied title, context and summary; not a new full-text assessment.</t>
        </is>
      </c>
      <c r="AZ91" s="20" t="inlineStr">
        <is>
          <t>Direct higher-education Computing/IT evidence on assessment design, assessment security, integrity or verification of individual understanding.</t>
        </is>
      </c>
      <c r="BA91" s="20" t="inlineStr">
        <is>
          <t>Not independently checked against original full text.</t>
        </is>
      </c>
    </row>
    <row r="92" ht="120" customHeight="1">
      <c r="A92" s="11" t="inlineStr">
        <is>
          <t>R91</t>
        </is>
      </c>
      <c r="B92" s="11" t="inlineStr">
        <is>
          <t>16/10/2026</t>
        </is>
      </c>
      <c r="C92" s="11" t="inlineStr">
        <is>
          <t>tables.pdf, entry 24</t>
        </is>
      </c>
      <c r="D92" s="23" t="inlineStr">
        <is>
          <t>Encouraging responsible GenAI use in software engineering education: A design-oriented model
Source file: tables.pdf</t>
        </is>
      </c>
      <c r="E92" s="11" t="inlineStr">
        <is>
          <t>Vəhid Gəruslu; Zafar Jafarov; Aytan Mövsümova; Atif Namazov; Hüseyn Mirzayev</t>
        </is>
      </c>
      <c r="F92" s="11" t="n">
        <v>2026</v>
      </c>
      <c r="G92" s="11" t="inlineStr">
        <is>
          <t>Encouraging responsible GenAI use in software engineering education: A design-oriented model</t>
        </is>
      </c>
      <c r="H92" s="11" t="inlineStr">
        <is>
          <t>The Journal of Systems &amp; Software, Volume 237, Article 112846, Elsevier. Peer- reviewed journal article.</t>
        </is>
      </c>
      <c r="I92" s="11" t="inlineStr">
        <is>
          <t>https://doi.org/10.1016/j.jss.2026.112846</t>
        </is>
      </c>
      <c r="J92" s="11" t="inlineStr">
        <is>
          <t>Journal article</t>
        </is>
      </c>
      <c r="K92" s="11" t="inlineStr">
        <is>
          <t>Design-based research with two illustrative applications: (1) redesign of four extensive laboratory assignments in a final- year Software Testing course at Queen’s University Belfast, UK; (2) incorporation of GenAI competencies into the design of a new Software Engineering BSc curriculum at Azerbaijan Technical University. Evidence includes instructor observations and student artifacts in the course- level case.</t>
        </is>
      </c>
      <c r="L92" s="11" t="inlineStr">
        <is>
          <t>Directly examines assessment redesign in higher-education Software Engineering, addressing authenticity, academic integrity, student reflection, AI-use transparency and technical verification.</t>
        </is>
      </c>
      <c r="M92" s="11" t="inlineStr">
        <is>
          <t>No</t>
        </is>
      </c>
      <c r="N92" s="11" t="n"/>
      <c r="O92" s="11" t="inlineStr">
        <is>
          <t>Include</t>
        </is>
      </c>
      <c r="P92" s="11" t="n"/>
      <c r="Q92" s="11" t="n"/>
      <c r="R92" s="12" t="inlineStr">
        <is>
          <t>Include</t>
        </is>
      </c>
      <c r="S92" s="11" t="inlineStr">
        <is>
          <t>High</t>
        </is>
      </c>
      <c r="T92" s="11" t="n"/>
      <c r="U92" s="11" t="inlineStr">
        <is>
          <t>Summary supplied in tables.pdf (not independently verified): The authors report greater critical engagement with GenAI, less passive acceptance of AI outputs and improved awareness of validation practices in the redesigned labs. The curriculum case illustrates how responsible AI-use competencies can be integrated across different courses and year levels.</t>
        </is>
      </c>
      <c r="V92" s="11" t="n"/>
      <c r="W92" s="11" t="inlineStr">
        <is>
          <t>Updated from tables.pdf, entry 24, PDF page(s) 23. Source recommendations and reported outcomes require full-text verification.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92" s="20">
        <f>IF(G92="","",IF(F92="","",IF(AND(F92&gt;=2022,F92&lt;=2024),"Review 2026 applicability","")))</f>
        <v/>
      </c>
      <c r="AE92" s="20">
        <f>IF(G92="","",IF(OR(E92="",F92="",I92="",V92=""),"Missing author/year/link/screener",""))</f>
        <v/>
      </c>
      <c r="AF92" s="20">
        <f>IF(G92="","",IF(I92="","",IF(COUNTIF($I$2:$I$100,I92)&gt;1,"Check duplicate","")))</f>
        <v/>
      </c>
      <c r="AG92" s="20">
        <f>IF(G92="","",IF(M92="Yes","Duplicate",IF(OR(R92="",R92="Pending"),"Review pending","")))</f>
        <v/>
      </c>
      <c r="AO92" s="20" t="inlineStr">
        <is>
          <t>Proposes Guide-AI-Ed, a conceptual model helping software engineering educators design learning activities that encourage responsible GenAI use, independent reasoning and critical validation. Primary categories: AI-use Declarations, Process Evidence and Unsupervised Assessment.</t>
        </is>
      </c>
      <c r="AP92" s="20" t="inlineStr">
        <is>
          <t>Require students to disclose GenAI assistance, critically inspect and correct AI-generated code or test cases, justify whether outputs were accepted or rejected, and peer- review AI-generated software artifacts.</t>
        </is>
      </c>
      <c r="AQ92" s="20" t="inlineStr">
        <is>
          <t>Direct. Discusses ChatGPT, GitHub Copilot and other GenAI tools used for code generation, software testing, debugging and educational activities.</t>
        </is>
      </c>
      <c r="AR92" s="20" t="inlineStr">
        <is>
          <t>Directly examines assessment redesign in higher-education Software Engineering, addressing authenticity, academic integrity, student reflection, AI-use transparency and technical verification.</t>
        </is>
      </c>
      <c r="AS92" s="20" t="inlineStr">
        <is>
          <t>Conceptual relationship s are not causally validated. Course findings rely substantially on observations and artifacts, without a rigorous controlled comparison. The second application concerns curriculum design rather than demonstrate d student outcomes. Generalizab ility and long-term learning effects remain uncertain.</t>
        </is>
      </c>
      <c r="AT92" s="20" t="inlineStr">
        <is>
          <t>Include, design-based research and practice-based evidence, with the conceptual framework distinguished from measured intervention effects.</t>
        </is>
      </c>
      <c r="AU92" s="20" t="n"/>
      <c r="AV92" s="20" t="n"/>
      <c r="AW92" s="20" t="n"/>
      <c r="AX92" s="20" t="inlineStr">
        <is>
          <t>Main synthesis, design / preliminary evidence</t>
        </is>
      </c>
      <c r="AY92" s="20" t="inlineStr">
        <is>
          <t>Tighter relevance screen of supplied title, context and summary; not a new full-text assessment.</t>
        </is>
      </c>
      <c r="AZ92" s="20" t="inlineStr">
        <is>
          <t>Direct higher-education Computing/IT evidence on assessment design, assessment security, integrity or verification of individual understanding.</t>
        </is>
      </c>
      <c r="BA92" s="20" t="inlineStr">
        <is>
          <t>Not independently checked against original full text.</t>
        </is>
      </c>
    </row>
    <row r="93" ht="96" customHeight="1">
      <c r="A93" s="11" t="inlineStr">
        <is>
          <t>R92</t>
        </is>
      </c>
      <c r="B93" s="11" t="inlineStr">
        <is>
          <t>16/10/2026</t>
        </is>
      </c>
      <c r="C93" s="11" t="inlineStr">
        <is>
          <t>tables.pdf, entry 25</t>
        </is>
      </c>
      <c r="D93" s="23" t="inlineStr">
        <is>
          <t>Where Students Draw the Line Between AI Assistance and Cheating in Introductory Programming
Source file: tables.pdf</t>
        </is>
      </c>
      <c r="E93" s="11" t="inlineStr">
        <is>
          <t>Traxel Xeniya Alexandrovna; Samat Tankeyev</t>
        </is>
      </c>
      <c r="F93" s="11" t="n">
        <v>2026</v>
      </c>
      <c r="G93" s="11" t="inlineStr">
        <is>
          <t>Where Students Draw the Line Between AI Assistance and Cheating in Introductory Programming</t>
        </is>
      </c>
      <c r="H93" s="11" t="inlineStr">
        <is>
          <t>2026 IEEE 6th International Conference on Smart Information Systems and Technologies (SIST), Astana, Kazakhstan, 13-15 May 2026. IEEE conference paper</t>
        </is>
      </c>
      <c r="I93" s="11" t="inlineStr">
        <is>
          <t>https://doi.org/10.1109/SIST61674.2026.11596075</t>
        </is>
      </c>
      <c r="J93" s="11" t="inlineStr">
        <is>
          <t>Conference paper</t>
        </is>
      </c>
      <c r="K93" s="11" t="inlineStr">
        <is>
          <t>Quantitative cross- sectional survey, N = 118 first- and second- year Computer Science students at Astana IT University, Kazakhstan. Participants evaluated 17 AI-assisted programming scenarios. Researchers used descriptive statistics, chi-square tests and binary logistic regression.</t>
        </is>
      </c>
      <c r="L93" s="11" t="inlineStr">
        <is>
          <t>Provides computing- specific empirical evidence about academic integrity, student expectations and ambiguity in AI-use rules. It helps explain why assessment redesign may need AI disclosure and verification of understanding.</t>
        </is>
      </c>
      <c r="M93" s="11" t="inlineStr">
        <is>
          <t>No</t>
        </is>
      </c>
      <c r="N93" s="11" t="n"/>
      <c r="O93" s="11" t="inlineStr">
        <is>
          <t>Include</t>
        </is>
      </c>
      <c r="P93" s="11" t="n"/>
      <c r="Q93" s="11" t="n"/>
      <c r="R93" s="12" t="inlineStr">
        <is>
          <t>Include</t>
        </is>
      </c>
      <c r="S93" s="11" t="inlineStr">
        <is>
          <t>High</t>
        </is>
      </c>
      <c r="T93" s="11" t="n"/>
      <c r="U93" s="11" t="inlineStr">
        <is>
          <t>Summary supplied in tables.pdf (not independently verified): Students generally accepted AI for learning, explanation and debugging, but opinions were divided about submitting generated code without understanding it. Disclosure-based policies were preferred over complete AI bans. The tested demographic predictors were not statistically significant.</t>
        </is>
      </c>
      <c r="V93" s="11" t="n"/>
      <c r="W93" s="11" t="inlineStr">
        <is>
          <t>Updated from tables.pdf, entry 25, PDF page(s) 23, 24. Source recommendations and reported outcomes require full-text verification.
16/10/2026 relevance decision: Include. Addresses assessment design, verification of understanding, assessment validity or integrity in AI-rich education.
Revised strict-scope decision: Include in main synthesis. Programming-specific empirical evidence on AI assistance, cheating and disclosure policies; contextual evidence for the integrity question, not an intervention trial.</t>
        </is>
      </c>
      <c r="AD93" s="20">
        <f>IF(G93="","",IF(F93="","",IF(AND(F93&gt;=2022,F93&lt;=2024),"Review 2026 applicability","")))</f>
        <v/>
      </c>
      <c r="AE93" s="20">
        <f>IF(G93="","",IF(OR(E93="",F93="",I93="",V93=""),"Missing author/year/link/screener",""))</f>
        <v/>
      </c>
      <c r="AF93" s="20">
        <f>IF(G93="","",IF(I93="","",IF(COUNTIF($I$2:$I$100,I93)&gt;1,"Check duplicate","")))</f>
        <v/>
      </c>
      <c r="AG93" s="20">
        <f>IF(G93="","",IF(M93="Yes","Duplicate",IF(OR(R93="",R93="Pending"),"Review pending","")))</f>
        <v/>
      </c>
      <c r="AO93" s="20" t="inlineStr">
        <is>
          <t>Examines how introductory programming students classify different forms of GenAI assistance as acceptable help, cheating or dependent on course rules. Most relevant categories: AI-use Declarations, Process Evidence and Oral Assessment, although these are recommended rather than tested.</t>
        </is>
      </c>
      <c r="AP93" s="20" t="inlineStr">
        <is>
          <t>Develop clear AI-use disclosure policies, require students to explain AI-generated code, collect development logs or version histories, and consider oral code defenses to verify understanding.</t>
        </is>
      </c>
      <c r="AQ93" s="20" t="inlineStr">
        <is>
          <t>Direct. Includes ChatGPT, GitHub Copilot and AI-assisted programming activities such as code generation, debugging, documentation, optimization and test generation.</t>
        </is>
      </c>
      <c r="AR93" s="20" t="inlineStr">
        <is>
          <t>Provides computing- specific empirical evidence about academic integrity, student expectations and ambiguity in AI-use rules. It helps explain why assessment redesign may need AI disclosure and verification of understanding.</t>
        </is>
      </c>
      <c r="AS93" s="20" t="inlineStr">
        <is>
          <t>Single institution, relatively small sample, predominant ly early- year students, self-reported hypothetical judgments rather than observed cheating, cross- sectional design, and no direct testing of proposed assessment interventions.</t>
        </is>
      </c>
      <c r="AT93" s="20" t="inlineStr">
        <is>
          <t>Include as empirical contextual evidence, rather than as an effectiveness evaluation of assessment strategies.</t>
        </is>
      </c>
      <c r="AU93" s="20" t="n"/>
      <c r="AV93" s="20" t="n"/>
      <c r="AW93" s="20" t="n"/>
      <c r="AX93" s="20" t="inlineStr">
        <is>
          <t>Main synthesis, assessment evidence</t>
        </is>
      </c>
      <c r="AY93" s="20" t="inlineStr">
        <is>
          <t>Tighter relevance screen of supplied title, context and summary; not a new full-text assessment.</t>
        </is>
      </c>
      <c r="AZ93" s="20" t="inlineStr">
        <is>
          <t>Programming-specific empirical evidence on AI assistance, cheating and disclosure policies; contextual evidence for the integrity question, not an intervention trial.</t>
        </is>
      </c>
      <c r="BA93" s="20" t="inlineStr">
        <is>
          <t>Not independently checked against original full text.</t>
        </is>
      </c>
    </row>
    <row r="94" ht="120" customHeight="1">
      <c r="A94" s="11" t="inlineStr">
        <is>
          <t>R93</t>
        </is>
      </c>
      <c r="B94" s="11" t="inlineStr">
        <is>
          <t>16/10/2026</t>
        </is>
      </c>
      <c r="C94" s="11" t="inlineStr">
        <is>
          <t>tables.pdf, entry 26</t>
        </is>
      </c>
      <c r="D94" s="23" t="inlineStr">
        <is>
          <t>Integrating AI in Project-Based Engineering Education: Strengthening Course Design and Assessment Integrity
Source file: tables.pdf</t>
        </is>
      </c>
      <c r="E94" s="11" t="inlineStr">
        <is>
          <t>Mahnoor Anjum; Tianyi Zhang; Deepak Mishra; Eliathamby Ambikairajah</t>
        </is>
      </c>
      <c r="F94" s="11" t="n">
        <v>2026</v>
      </c>
      <c r="G94" s="11" t="inlineStr">
        <is>
          <t>Integrating AI in Project-Based Engineering Education: Strengthening Course Design and Assessment Integrity</t>
        </is>
      </c>
      <c r="H94" s="11" t="inlineStr">
        <is>
          <t>2026 IEEE Global Engineering Education Conference (EDUCON). Conference research paper</t>
        </is>
      </c>
      <c r="I94" s="11" t="inlineStr">
        <is>
          <t>https://doi.org/10.1109/EDUCON67543.2026.11574256</t>
        </is>
      </c>
      <c r="J94" s="11" t="inlineStr">
        <is>
          <t>Conference paper</t>
        </is>
      </c>
      <c r="K94" s="11" t="inlineStr">
        <is>
          <t>Educational framework development and implementation case study, supported by an anonymous post-course survey of 39 postgraduate engineering students. Descriptive quantitative survey findings; no controlled experimental comparison is reported.</t>
        </is>
      </c>
      <c r="L94" s="11" t="inlineStr">
        <is>
          <t>Provides an implemented example of integrating multiple authentic and secure assessment strategies into AI-rich technical projects. Especially useful for studying how process documentation, disclosure and oral verification can complement project-based assessment.</t>
        </is>
      </c>
      <c r="M94" s="11" t="inlineStr">
        <is>
          <t>No</t>
        </is>
      </c>
      <c r="N94" s="11" t="n"/>
      <c r="O94" s="11" t="inlineStr">
        <is>
          <t>Include</t>
        </is>
      </c>
      <c r="P94" s="11" t="n"/>
      <c r="Q94" s="11" t="n"/>
      <c r="R94" s="12" t="inlineStr">
        <is>
          <t>Background</t>
        </is>
      </c>
      <c r="S94" s="11" t="inlineStr">
        <is>
          <t>High</t>
        </is>
      </c>
      <c r="T94" s="11" t="n"/>
      <c r="U94" s="11" t="inlineStr">
        <is>
          <t>Summary supplied in tables.pdf (not independently verified): 72% agreed AI improved task efficiency; approximately 76% found AI useful for software debugging; 44% for hardware debugging; 54% reported reduced reliance on instructors; 87% reported encountering incorrect or misleading AI suggestions at least occasionally.</t>
        </is>
      </c>
      <c r="V94" s="11" t="n"/>
      <c r="W94" s="11" t="inlineStr">
        <is>
          <t>Updated from tables.pdf, entry 26, PDF page(s) 24, 25. Source recommendations and reported outcomes require full-text verification.
16/10/2026 relevance decision: Include. Programming-intensive engineering assessment is transferable to Computing/IT; report separately from discipline-specific studies.
Revised strict-scope decision: Background only. Engineering-course context rather than the strict Computing/IT programme scope; retain as adjacent-discipline background.</t>
        </is>
      </c>
      <c r="AD94" s="20">
        <f>IF(G94="","",IF(F94="","",IF(AND(F94&gt;=2022,F94&lt;=2024),"Review 2026 applicability","")))</f>
        <v/>
      </c>
      <c r="AE94" s="20">
        <f>IF(G94="","",IF(OR(E94="",F94="",I94="",V94=""),"Missing author/year/link/screener",""))</f>
        <v/>
      </c>
      <c r="AF94" s="20">
        <f>IF(G94="","",IF(I94="","",IF(COUNTIF($I$2:$I$100,I94)&gt;1,"Check duplicate","")))</f>
        <v/>
      </c>
      <c r="AG94" s="20">
        <f>IF(G94="","",IF(M94="Yes","Duplicate",IF(OR(R94="",R94="Pending"),"Review pending","")))</f>
        <v/>
      </c>
      <c r="AO94" s="20" t="inlineStr">
        <is>
          <t>Proposes and implements a three- layer AI-assisted project-based learning framework that integrates fairness, accountability, transparency and ethics (FATE). Covers supervised assessment, unsupervised assessment, oral assessment, practical demonstrations, staged submissions, process evidence, personalised task choice and AI-use declarations.</t>
        </is>
      </c>
      <c r="AP94" s="20" t="inlineStr">
        <is>
          <t>Combine independently completed projects with documented AI use, reflective design journals, oral explanations, working demonstrations, regular supervised lab checkpoints and a closed-book practical examination.</t>
        </is>
      </c>
      <c r="AQ94" s="20" t="inlineStr">
        <is>
          <t>Direct. Discusses ChatGPT, Copilot, Gemini and other AI tools used for coding, debugging, simulation, technical explanation, idea generation and project development.</t>
        </is>
      </c>
      <c r="AR94" s="20" t="inlineStr">
        <is>
          <t>Provides an implemented example of integrating multiple authentic and secure assessment strategies into AI-rich technical projects. Especially useful for studying how process documentation, disclosure and oral verification can complement project-based assessment.</t>
        </is>
      </c>
      <c r="AS94" s="20" t="inlineStr">
        <is>
          <t>Small survey sample, single course, self-reported outcomes, no randomized control group, no objective evidence that the framework reduced cheating, and an engineering rather than exclusively Computing/ IT setting.</t>
        </is>
      </c>
      <c r="AT94" s="20" t="inlineStr">
        <is>
          <t>Include conditionally if your review includes programming-intensive engineering courses. Otherwise retain as supporting evidence outside the strict Computing/IT sample.</t>
        </is>
      </c>
      <c r="AU94" s="20" t="n"/>
      <c r="AV94" s="20" t="n"/>
      <c r="AW94" s="20" t="n"/>
      <c r="AX94" s="20" t="inlineStr">
        <is>
          <t>Background, outside main synthesis</t>
        </is>
      </c>
      <c r="AY94" s="20" t="inlineStr">
        <is>
          <t>Tighter relevance screen of supplied title, context and summary; not a new full-text assessment.</t>
        </is>
      </c>
      <c r="AZ94" s="20" t="inlineStr">
        <is>
          <t>Engineering-course context rather than the strict Computing/IT programme scope; retain as adjacent-discipline background.</t>
        </is>
      </c>
      <c r="BA94" s="20" t="inlineStr">
        <is>
          <t>Not independently checked against original full text.</t>
        </is>
      </c>
    </row>
    <row r="95" ht="120" customHeight="1">
      <c r="A95" s="11" t="inlineStr">
        <is>
          <t>R94</t>
        </is>
      </c>
      <c r="B95" s="11" t="inlineStr">
        <is>
          <t>16/10/2026</t>
        </is>
      </c>
      <c r="C95" s="11" t="inlineStr">
        <is>
          <t>tables.pdf, entry 27</t>
        </is>
      </c>
      <c r="D95" s="23" t="inlineStr">
        <is>
          <t>GenAI-Driven Game and Viva Assessments for Software Engineering
Source file: tables.pdf</t>
        </is>
      </c>
      <c r="E95" s="11" t="inlineStr">
        <is>
          <t>Soma Datta</t>
        </is>
      </c>
      <c r="F95" s="11" t="n">
        <v>2026</v>
      </c>
      <c r="G95" s="11" t="inlineStr">
        <is>
          <t>GenAI-Driven Game and Viva Assessments for Software Engineering</t>
        </is>
      </c>
      <c r="H95" s="11" t="inlineStr">
        <is>
          <t>2026 IEEE Global Engineering Education Conference (EDUCON). Peer- reviewed conference research paper</t>
        </is>
      </c>
      <c r="I95" s="11" t="inlineStr">
        <is>
          <t>https://doi.org/10.1109/EDUCON67543.2026.11574097</t>
        </is>
      </c>
      <c r="J95" s="11" t="inlineStr">
        <is>
          <t>Conference paper</t>
        </is>
      </c>
      <c r="K95" s="11" t="inlineStr">
        <is>
          <t>Practice-based educational case study involving assessment redesign across four semesters. The paper reports 129 undergraduate and 65 graduate students (194 total) across Software Engineering courses at the University of Houston-Clear Lake, USA. Includes descriptive grade results, classroom observations and anonymous student feedback.</t>
        </is>
      </c>
      <c r="L95" s="11" t="inlineStr">
        <is>
          <t>Directly addresses authentic assessment and academic integrity in higher- education Software Engineering. Provides practical evidence about using oral questioning and time-limited assessment to verify understanding beyond AI-generated written submissions.</t>
        </is>
      </c>
      <c r="M95" s="11" t="inlineStr">
        <is>
          <t>No</t>
        </is>
      </c>
      <c r="N95" s="11" t="n"/>
      <c r="O95" s="11" t="inlineStr">
        <is>
          <t>Include</t>
        </is>
      </c>
      <c r="P95" s="11" t="n"/>
      <c r="Q95" s="11" t="n"/>
      <c r="R95" s="12" t="inlineStr">
        <is>
          <t>Include</t>
        </is>
      </c>
      <c r="S95" s="11" t="inlineStr">
        <is>
          <t>High</t>
        </is>
      </c>
      <c r="T95" s="11" t="n"/>
      <c r="U95" s="11" t="inlineStr">
        <is>
          <t>Summary supplied in tables.pdf (not independently verified): Approximately 80% of students achieved a B grade or higher in oral assessments, while take-home essay quizzes averaged approximately 65%. The author reports that students preferred the gameboard viva format and that interactive questioning encouraged engagement and conceptual preparation.</t>
        </is>
      </c>
      <c r="V95" s="11" t="n"/>
      <c r="W95" s="11" t="inlineStr">
        <is>
          <t>Updated from tables.pdf, entry 27, PDF page(s) 25. Source recommendations and reported outcomes require full-text verification.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95" s="20">
        <f>IF(G95="","",IF(F95="","",IF(AND(F95&gt;=2022,F95&lt;=2024),"Review 2026 applicability","")))</f>
        <v/>
      </c>
      <c r="AE95" s="20">
        <f>IF(G95="","",IF(OR(E95="",F95="",I95="",V95=""),"Missing author/year/link/screener",""))</f>
        <v/>
      </c>
      <c r="AF95" s="20">
        <f>IF(G95="","",IF(I95="","",IF(COUNTIF($I$2:$I$100,I95)&gt;1,"Check duplicate","")))</f>
        <v/>
      </c>
      <c r="AG95" s="20">
        <f>IF(G95="","",IF(M95="Yes","Duplicate",IF(OR(R95="",R95="Pending"),"Review pending","")))</f>
        <v/>
      </c>
      <c r="AO95" s="20" t="inlineStr">
        <is>
          <t>Examines how oral, interactive and game- based assessments can help evaluate students' genuine understanding when GenAI tools can produce conventional coursework answers. Primary categories: Oral Assessment and Supervised Assessment. Secondary: Unsupervised Assessment.</t>
        </is>
      </c>
      <c r="AP95" s="20" t="inlineStr">
        <is>
          <t>Use short oral presentations on randomly assigned topics, viva voce examinations, difficulty-based question boards, adaptive questioning, timed case-study quizzes and carefully designed take-home assignments. Permit GenAI for preparation while assessing students' independent understanding.</t>
        </is>
      </c>
      <c r="AQ95" s="20" t="inlineStr">
        <is>
          <t>Direct. Discusses ChatGPT, GitHub Copilot and GenAI-supported software engineering activities, including requirements engineering, Agile development, persona generation, software requirements specification critique and implementation assistance.</t>
        </is>
      </c>
      <c r="AR95" s="20" t="inlineStr">
        <is>
          <t>Directly addresses authentic assessment and academic integrity in higher- education Software Engineering. Provides practical evidence about using oral questioning and time-limited assessment to verify understanding beyond AI-generated written submissions.</t>
        </is>
      </c>
      <c r="AS95" s="20" t="inlineStr">
        <is>
          <t>Single- instructor practice- based report, limited description of statistical analysis, no controlled comparison, no objective measurement of AI-assisted cheating, unclear sample sizes for individual assessment formats and limited information about workload or scalability.</t>
        </is>
      </c>
      <c r="AT95" s="20" t="inlineStr">
        <is>
          <t>Include, primary educational implementation evidence, but treat reported effectiveness as descriptive rather than causal.</t>
        </is>
      </c>
      <c r="AU95" s="20" t="n"/>
      <c r="AV95" s="20" t="n"/>
      <c r="AW95" s="20" t="n"/>
      <c r="AX95" s="20" t="inlineStr">
        <is>
          <t>Main synthesis, design / preliminary evidence</t>
        </is>
      </c>
      <c r="AY95" s="20" t="inlineStr">
        <is>
          <t>Tighter relevance screen of supplied title, context and summary; not a new full-text assessment.</t>
        </is>
      </c>
      <c r="AZ95" s="20" t="inlineStr">
        <is>
          <t>Direct higher-education Computing/IT evidence on assessment design, assessment security, integrity or verification of individual understanding.</t>
        </is>
      </c>
      <c r="BA95" s="20" t="inlineStr">
        <is>
          <t>Not independently checked against original full text.</t>
        </is>
      </c>
    </row>
    <row r="96" ht="120" customHeight="1">
      <c r="A96" s="11" t="inlineStr">
        <is>
          <t>R95</t>
        </is>
      </c>
      <c r="B96" s="11" t="inlineStr">
        <is>
          <t>16/10/2026</t>
        </is>
      </c>
      <c r="C96" s="11" t="inlineStr">
        <is>
          <t>tables.pdf, entry 28</t>
        </is>
      </c>
      <c r="D96" s="23" t="inlineStr">
        <is>
          <t>Assessing Student Proficiency in Foundational Developer Tools Through Live Checkoffs
Source file: tables.pdf</t>
        </is>
      </c>
      <c r="E96" s="11" t="inlineStr">
        <is>
          <t>Connor McMahon; Lauren Feldman</t>
        </is>
      </c>
      <c r="F96" s="11" t="n">
        <v>2026</v>
      </c>
      <c r="G96" s="11" t="inlineStr">
        <is>
          <t>Assessing Student Proficiency in Foundational Developer Tools Through Live Checkoffs</t>
        </is>
      </c>
      <c r="H96" s="11" t="inlineStr">
        <is>
          <t>Proceedings of the 57th ACM Technical Symposium on Computer Science Education (SIGCSE TS 2026), Volume 1, pp. 722-728. ACM conference experience report,</t>
        </is>
      </c>
      <c r="I96" s="11" t="inlineStr">
        <is>
          <t>https://doi.org/10.1145/3770762.3772618</t>
        </is>
      </c>
      <c r="J96" s="11" t="inlineStr">
        <is>
          <t>Conference paper</t>
        </is>
      </c>
      <c r="K96" s="11" t="inlineStr">
        <is>
          <t>Empirical educational experience report / single-course implementation study. Conducted during Spring 2025 in a Systems Fundamentals course at the University of North Carolina at Chapel Hill, USA, involving 237 students. Three checkoffs were implemented: CLI, Debugger and Git. Evidence includes assessment scores, optional student surveys, TA feedback and scheduling data.</t>
        </is>
      </c>
      <c r="L96" s="11" t="inlineStr">
        <is>
          <t>Provides direct evidence of an authentic, supervised and interactive assessment format in higher- education Computer Science. Particularly valuable for investigating skill verification, assessment fairness, instructor workload and scalability.</t>
        </is>
      </c>
      <c r="M96" s="11" t="inlineStr">
        <is>
          <t>No</t>
        </is>
      </c>
      <c r="N96" s="11" t="n"/>
      <c r="O96" s="11" t="inlineStr">
        <is>
          <t>Include</t>
        </is>
      </c>
      <c r="P96" s="11" t="n"/>
      <c r="Q96" s="11" t="n"/>
      <c r="R96" s="12" t="inlineStr">
        <is>
          <t>Include</t>
        </is>
      </c>
      <c r="S96" s="11" t="inlineStr">
        <is>
          <t>High</t>
        </is>
      </c>
      <c r="T96" s="11" t="n"/>
      <c r="U96" s="11" t="inlineStr">
        <is>
          <t>Summary supplied in tables.pdf (not independently verified): Students generally achieved high scores across all three assessments. Most survey respondents perceived improvements in their skills. The approach encouraged students to seek assistance and practice technical skills, but required considerable TA time.</t>
        </is>
      </c>
      <c r="V96" s="11" t="n"/>
      <c r="W96" s="11" t="inlineStr">
        <is>
          <t>Updated from tables.pdf, entry 28, PDF page(s) 25, 26. Source recommendations and reported outcomes require full-text verification.
16/10/2026 relevance decision: Include. Addresses assessment design, verification of understanding, assessment validity or integrity in AI-rich education.
Revised strict-scope decision: Include in main synthesis. University CS practical checkoffs verify proficiency; indirect GenAI motivation, direct assessment implementation.</t>
        </is>
      </c>
      <c r="AD96" s="20">
        <f>IF(G96="","",IF(F96="","",IF(AND(F96&gt;=2022,F96&lt;=2024),"Review 2026 applicability","")))</f>
        <v/>
      </c>
      <c r="AE96" s="20">
        <f>IF(G96="","",IF(OR(E96="",F96="",I96="",V96=""),"Missing author/year/link/screener",""))</f>
        <v/>
      </c>
      <c r="AF96" s="20">
        <f>IF(G96="","",IF(I96="","",IF(COUNTIF($I$2:$I$100,I96)&gt;1,"Check duplicate","")))</f>
        <v/>
      </c>
      <c r="AG96" s="20">
        <f>IF(G96="","",IF(M96="Yes","Duplicate",IF(OR(R96="",R96="Pending"),"Review pending","")))</f>
        <v/>
      </c>
      <c r="AO96" s="20" t="inlineStr">
        <is>
          <t>Evaluates live, one- on-one practical assessments in which students demonstrate proficiency with developer tools while verbally explaining technical concepts. Primary categories: Practical Demonstrations, Oral Assessment and Supervised Assessment.</t>
        </is>
      </c>
      <c r="AP96" s="20" t="inlineStr">
        <is>
          <t>Conduct short, supervised technical checkoffs in which students perform authentic developer tasks and answer follow-up questions. Use standardized rubrics, teaching assistants, preparation materials and opportunities to retry.</t>
        </is>
      </c>
      <c r="AQ96" s="20" t="inlineStr">
        <is>
          <t>Indirect but explicit. The authors argue that in-person checkoffs help verify authentic proficiency when GenAI can complete take-home assignments. However, GenAI use itself was not studied.</t>
        </is>
      </c>
      <c r="AR96" s="20" t="inlineStr">
        <is>
          <t>Provides direct evidence of an authentic, supervised and interactive assessment format in higher- education Computer Science. Particularly valuable for investigating skill verification, assessment fairness, instructor workload and scalability.</t>
        </is>
      </c>
      <c r="AS96" s="20" t="inlineStr">
        <is>
          <t>Single course and institution, no control group, no direct measure of GenAI misuse, self-reported skill improvements, possible selection bias in optional surveys, and substantial TA staffing requirements.</t>
        </is>
      </c>
      <c r="AT96" s="20" t="inlineStr">
        <is>
          <t>Include, provided your review accepts studies evaluating assessment approaches motivated by GenAI-related integrity concerns, even without direct measurement of AI use.</t>
        </is>
      </c>
      <c r="AU96" s="20" t="n"/>
      <c r="AV96" s="20" t="n"/>
      <c r="AW96" s="20" t="n"/>
      <c r="AX96" s="20" t="inlineStr">
        <is>
          <t>Main synthesis, assessment evidence</t>
        </is>
      </c>
      <c r="AY96" s="20" t="inlineStr">
        <is>
          <t>Tighter relevance screen of supplied title, context and summary; not a new full-text assessment.</t>
        </is>
      </c>
      <c r="AZ96" s="20" t="inlineStr">
        <is>
          <t>University CS practical checkoffs verify proficiency; indirect GenAI motivation, direct assessment implementation.</t>
        </is>
      </c>
      <c r="BA96" s="20" t="inlineStr">
        <is>
          <t>Not independently checked against original full text.</t>
        </is>
      </c>
    </row>
    <row r="97" ht="108" customHeight="1">
      <c r="A97" s="11" t="inlineStr">
        <is>
          <t>R96</t>
        </is>
      </c>
      <c r="B97" s="11" t="inlineStr">
        <is>
          <t>16/10/2026</t>
        </is>
      </c>
      <c r="C97" s="11" t="inlineStr">
        <is>
          <t>tables.pdf, entry 29</t>
        </is>
      </c>
      <c r="D97" s="23" t="inlineStr">
        <is>
          <t>Generative AI in Programming Education: An Empirical Analysis of Student Performance and Assessment Challenges in the LLM Era
Source file: tables.pdf</t>
        </is>
      </c>
      <c r="E97" s="11" t="inlineStr">
        <is>
          <t>Suyang Zhu; Zhengtao Liu</t>
        </is>
      </c>
      <c r="F97" s="11" t="n">
        <v>2026</v>
      </c>
      <c r="G97" s="11" t="inlineStr">
        <is>
          <t>Generative AI in Programming Education: An Empirical Analysis of Student Performance and Assessment Challenges in the LLM Era</t>
        </is>
      </c>
      <c r="H97" s="11" t="inlineStr">
        <is>
          <t>2026 International Conference on Big Data and Informatization Education (ICBDIE 2026), ACM, pp. 26-32. Conference paper</t>
        </is>
      </c>
      <c r="I97" s="11" t="inlineStr">
        <is>
          <t>https://doi.org/10.1145/3806980.3806985</t>
        </is>
      </c>
      <c r="J97" s="11" t="inlineStr">
        <is>
          <t>Conference paper</t>
        </is>
      </c>
      <c r="K97" s="11" t="inlineStr">
        <is>
          <t>Longitudinal observational study using quantitative and qualitative data. Data from 412 undergraduate students across NLP, Data Mining and Python Programming courses at a Chinese university. Sources include student questionnaires, assignment submissions, examination results and laboratory observations.</t>
        </is>
      </c>
      <c r="L97" s="11" t="inlineStr">
        <is>
          <t>Direct empirical evidence of the gap between AI-assisted coursework performance and independently demonstrated programming competence. Helps justify assessments that evaluate understanding rather than final code alone. Context: higher- education Computing/IT.</t>
        </is>
      </c>
      <c r="M97" s="11" t="inlineStr">
        <is>
          <t>No</t>
        </is>
      </c>
      <c r="N97" s="11" t="n"/>
      <c r="O97" s="11" t="inlineStr">
        <is>
          <t>Include</t>
        </is>
      </c>
      <c r="P97" s="11" t="n"/>
      <c r="Q97" s="11" t="n"/>
      <c r="R97" s="12" t="inlineStr">
        <is>
          <t>Include</t>
        </is>
      </c>
      <c r="S97" s="11" t="inlineStr">
        <is>
          <t>High</t>
        </is>
      </c>
      <c r="T97" s="11" t="n"/>
      <c r="U97" s="11" t="inlineStr">
        <is>
          <t>Summary supplied in tables.pdf (not independently verified): AI-generated code had a mean assignment score rate of 0.803, compared with 0.644 for self-written code. In supervised examinations, AI-reliant and self-sufficient students scored 0.630 and 0.632, respectively.</t>
        </is>
      </c>
      <c r="V97" s="11" t="n"/>
      <c r="W97" s="11" t="inlineStr">
        <is>
          <t>Updated from tables.pdf, entry 29, PDF page(s) 26, 27. Source recommendations and reported outcomes require full-text verification.
16/10/2026 relevance decision: Include. Addresses assessment design, verification of understanding, assessment validity or integrity in AI-rich education.
Revised strict-scope decision: Include in main synthesis. Direct higher-education Computing/IT evidence on assessment design, assessment security, integrity or verification of individual understanding.</t>
        </is>
      </c>
      <c r="AD97" s="20">
        <f>IF(G97="","",IF(F97="","",IF(AND(F97&gt;=2022,F97&lt;=2024),"Review 2026 applicability","")))</f>
        <v/>
      </c>
      <c r="AE97" s="20">
        <f>IF(G97="","",IF(OR(E97="",F97="",I97="",V97=""),"Missing author/year/link/screener",""))</f>
        <v/>
      </c>
      <c r="AF97" s="20">
        <f>IF(G97="","",IF(I97="","",IF(COUNTIF($I$2:$I$100,I97)&gt;1,"Check duplicate","")))</f>
        <v/>
      </c>
      <c r="AG97" s="20">
        <f>IF(G97="","",IF(M97="Yes","Duplicate",IF(OR(R97="",R97="Pending"),"Review pending","")))</f>
        <v/>
      </c>
      <c r="AO97" s="20" t="inlineStr">
        <is>
          <t>Investigates how widespread GenAI use affects programming assignment accuracy, error patterns, submission timing and performance in supervised examinations. Primary categories: Supervised Assessment and Unsupervised Assessment.</t>
        </is>
      </c>
      <c r="AP97" s="20" t="inlineStr">
        <is>
          <t>Combine AI-permitted programming assignments with controlled no-AI assessments. The authors additionally propose oral code defenses, Git-based process tracking, debugging flawed AI-generated solutions and a three-layer curriculum.</t>
        </is>
      </c>
      <c r="AQ97" s="20" t="inlineStr">
        <is>
          <t>Direct and central. Investigates LLM- assisted programming, including adoption of DeepSeek and other coding assistants, AI reliance, code- generation accuracy and assessment challenges.</t>
        </is>
      </c>
      <c r="AR97" s="20" t="inlineStr">
        <is>
          <t>Direct empirical evidence of the gap between AI-assisted coursework performance and independently demonstrated programming competence. Helps justify assessments that evaluate understanding rather than final code alone. Context: higher- education Computing/IT.</t>
        </is>
      </c>
      <c r="AS97" s="20" t="inlineStr">
        <is>
          <t>Observational design; different courses and cohorts compared; possible confounding factors; reliance on self-reported/obs erved AI use; no experimenta l testing of proposed assessment reforms; some inconsistenc ies in reported statistics.</t>
        </is>
      </c>
      <c r="AT97" s="20" t="inlineStr">
        <is>
          <t>Include in the primary literature review, subject to normal quality appraisal.</t>
        </is>
      </c>
      <c r="AU97" s="20" t="n"/>
      <c r="AV97" s="20" t="n"/>
      <c r="AW97" s="20" t="n"/>
      <c r="AX97" s="20" t="inlineStr">
        <is>
          <t>Main synthesis, assessment evidence</t>
        </is>
      </c>
      <c r="AY97" s="20" t="inlineStr">
        <is>
          <t>Tighter relevance screen of supplied title, context and summary; not a new full-text assessment.</t>
        </is>
      </c>
      <c r="AZ97" s="20" t="inlineStr">
        <is>
          <t>Direct higher-education Computing/IT evidence on assessment design, assessment security, integrity or verification of individual understanding.</t>
        </is>
      </c>
      <c r="BA97" s="20" t="inlineStr">
        <is>
          <t>Not independently checked against original full text.</t>
        </is>
      </c>
    </row>
    <row r="98">
      <c r="A98" t="inlineStr">
        <is>
          <t>R97</t>
        </is>
      </c>
      <c r="AD98" s="20">
        <f>IF(G98="","",IF(F98="","",IF(AND(F98&gt;=2022,F98&lt;=2024),"Review 2026 applicability","")))</f>
        <v/>
      </c>
      <c r="AE98" s="20">
        <f>IF(G98="","",IF(OR(E98="",F98="",I98="",V98=""),"Missing author/year/link/screener",""))</f>
        <v/>
      </c>
      <c r="AF98" s="20">
        <f>IF(G98="","",IF(I98="","",IF(COUNTIF($I$2:$I$100,I98)&gt;1,"Check duplicate","")))</f>
        <v/>
      </c>
      <c r="AG98" s="20">
        <f>IF(G98="","",IF(M98="Yes","Duplicate",IF(OR(R98="",R98="Pending"),"Review pending","")))</f>
        <v/>
      </c>
      <c r="AO98" s="20" t="n"/>
      <c r="AP98" s="20" t="n"/>
      <c r="AQ98" s="20" t="n"/>
      <c r="AR98" s="20" t="n"/>
      <c r="AS98" s="20" t="n"/>
      <c r="AT98" s="20" t="n"/>
      <c r="AU98" s="20" t="n"/>
      <c r="AV98" s="20" t="n"/>
      <c r="AW98" s="20" t="n"/>
      <c r="AX98" s="20" t="n"/>
      <c r="AY98" s="20" t="n"/>
      <c r="AZ98" s="20" t="n"/>
      <c r="BA98" s="20" t="n"/>
    </row>
    <row r="99">
      <c r="A99" t="inlineStr">
        <is>
          <t>R98</t>
        </is>
      </c>
      <c r="AD99" s="20">
        <f>IF(G99="","",IF(F99="","",IF(AND(F99&gt;=2022,F99&lt;=2024),"Review 2026 applicability","")))</f>
        <v/>
      </c>
      <c r="AE99" s="20">
        <f>IF(G99="","",IF(OR(E99="",F99="",I99="",V99=""),"Missing author/year/link/screener",""))</f>
        <v/>
      </c>
      <c r="AF99" s="20">
        <f>IF(G99="","",IF(I99="","",IF(COUNTIF($I$2:$I$100,I99)&gt;1,"Check duplicate","")))</f>
        <v/>
      </c>
      <c r="AG99" s="20">
        <f>IF(G99="","",IF(M99="Yes","Duplicate",IF(OR(R99="",R99="Pending"),"Review pending","")))</f>
        <v/>
      </c>
      <c r="AO99" s="20" t="n"/>
      <c r="AP99" s="20" t="n"/>
      <c r="AQ99" s="20" t="n"/>
      <c r="AR99" s="20" t="n"/>
      <c r="AS99" s="20" t="n"/>
      <c r="AT99" s="20" t="n"/>
      <c r="AU99" s="20" t="n"/>
      <c r="AV99" s="20" t="n"/>
      <c r="AW99" s="20" t="n"/>
      <c r="AX99" s="20" t="n"/>
      <c r="AY99" s="20" t="n"/>
      <c r="AZ99" s="20" t="n"/>
      <c r="BA99" s="20" t="n"/>
    </row>
    <row r="100">
      <c r="A100" t="inlineStr">
        <is>
          <t>R99</t>
        </is>
      </c>
      <c r="AD100" s="20">
        <f>IF(G100="","",IF(F100="","",IF(AND(F100&gt;=2022,F100&lt;=2024),"Review 2026 applicability","")))</f>
        <v/>
      </c>
      <c r="AE100" s="20">
        <f>IF(G100="","",IF(OR(E100="",F100="",I100="",V100=""),"Missing author/year/link/screener",""))</f>
        <v/>
      </c>
      <c r="AF100" s="20">
        <f>IF(G100="","",IF(I100="","",IF(COUNTIF($I$2:$I$100,I100)&gt;1,"Check duplicate","")))</f>
        <v/>
      </c>
      <c r="AG100" s="20">
        <f>IF(G100="","",IF(M100="Yes","Duplicate",IF(OR(R100="",R100="Pending"),"Review pending","")))</f>
        <v/>
      </c>
      <c r="AO100" s="20" t="n"/>
      <c r="AP100" s="20" t="n"/>
      <c r="AQ100" s="20" t="n"/>
      <c r="AR100" s="20" t="n"/>
      <c r="AS100" s="20" t="n"/>
      <c r="AT100" s="20" t="n"/>
      <c r="AU100" s="20" t="n"/>
      <c r="AV100" s="20" t="n"/>
      <c r="AW100" s="20" t="n"/>
      <c r="AX100" s="20" t="n"/>
      <c r="AY100" s="20" t="n"/>
      <c r="AZ100" s="20" t="n"/>
      <c r="BA100" s="20" t="n"/>
    </row>
  </sheetData>
  <mergeCells count="1">
    <mergeCell ref="Y1:AB1"/>
  </mergeCells>
  <conditionalFormatting sqref="R2:R60">
    <cfRule type="cellIs" priority="2" operator="equal" dxfId="8">
      <formula>"Include"</formula>
    </cfRule>
    <cfRule type="cellIs" priority="3" operator="equal" dxfId="7">
      <formula>"Exclude"</formula>
    </cfRule>
    <cfRule type="cellIs" priority="4" operator="equal" dxfId="6">
      <formula>"Duplicate"</formula>
    </cfRule>
    <cfRule type="cellIs" priority="5" operator="equal" dxfId="5">
      <formula>"Pending"</formula>
    </cfRule>
  </conditionalFormatting>
  <conditionalFormatting sqref="AD2:AD60">
    <cfRule type="containsText" priority="6" operator="containsText" dxfId="1" text="Review"/>
  </conditionalFormatting>
  <conditionalFormatting sqref="AG2:AG60">
    <cfRule type="containsText" priority="7" operator="containsText" dxfId="1" text="Review"/>
  </conditionalFormatting>
  <conditionalFormatting sqref="AE2:AE60">
    <cfRule type="containsText" priority="8" operator="containsText" dxfId="2" text="Missing"/>
  </conditionalFormatting>
  <conditionalFormatting sqref="AF2:AF60">
    <cfRule type="containsText" priority="9" operator="containsText" dxfId="1" text="Check duplicate"/>
  </conditionalFormatting>
  <conditionalFormatting sqref="R2:R100">
    <cfRule type="containsText" priority="10" operator="containsText" dxfId="0" text="Background"/>
  </conditionalFormatting>
  <dataValidations count="7">
    <dataValidation sqref="M2:M60" showDropDown="0" showInputMessage="0" showErrorMessage="0" allowBlank="1" type="list">
      <formula1>"Yes,No"</formula1>
      <formula2>0</formula2>
    </dataValidation>
    <dataValidation sqref="O2:O60" showDropDown="0" showInputMessage="0" showErrorMessage="0" allowBlank="1" type="list">
      <formula1>"Include,Exclude,Maybe,N/A"</formula1>
      <formula2>0</formula2>
    </dataValidation>
    <dataValidation sqref="P2:P60" showDropDown="0" showInputMessage="0" showErrorMessage="0" allowBlank="1" type="list">
      <formula1>"Include,Exclude"</formula1>
      <formula2>0</formula2>
    </dataValidation>
    <dataValidation sqref="Q2:Q60" showDropDown="0" showInputMessage="0" showErrorMessage="0" allowBlank="1" type="list">
      <formula1>"E1,E2,E3,E4,E5,E6,E7"</formula1>
      <formula2>0</formula2>
    </dataValidation>
    <dataValidation sqref="S2:S60" showDropDown="0" showInputMessage="0" showErrorMessage="0" allowBlank="1" type="list">
      <formula1>"High,Medium,Low"</formula1>
      <formula2>0</formula2>
    </dataValidation>
    <dataValidation sqref="J2:J60" showDropDown="0" showInputMessage="0" showErrorMessage="0" allowBlank="1" type="list">
      <formula1>"Journal article,Conference paper,Book chapter,Report,Online discussion,Other"</formula1>
      <formula2>0</formula2>
    </dataValidation>
    <dataValidation sqref="R2:R100" showDropDown="0" showInputMessage="0" showErrorMessage="0" allowBlank="0" type="list">
      <formula1>"Include,Background,Exclude,Duplicate,Pending"</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6"/>
  <sheetViews>
    <sheetView zoomScaleNormal="100" zoomScaleSheetLayoutView="100" workbookViewId="0">
      <selection activeCell="A1" sqref="A1"/>
    </sheetView>
  </sheetViews>
  <sheetFormatPr baseColWidth="8" defaultColWidth="8.7109375" defaultRowHeight="15"/>
  <cols>
    <col width="48" customWidth="1" min="1" max="1"/>
    <col width="14" customWidth="1" min="2" max="2"/>
  </cols>
  <sheetData>
    <row r="1" ht="16.15" customHeight="1">
      <c r="A1" s="14" t="inlineStr">
        <is>
          <t>Review counts: relevance decisions and recorded full-text screens</t>
        </is>
      </c>
    </row>
    <row r="2">
      <c r="A2" s="33" t="inlineStr">
        <is>
          <t>IDENTIFICATION</t>
        </is>
      </c>
      <c r="B2" s="34" t="n"/>
    </row>
    <row r="3">
      <c r="A3" s="15" t="inlineStr">
        <is>
          <t>Records identified</t>
        </is>
      </c>
      <c r="B3" s="16">
        <f>COUNTA('Evidence Log'!G2:G100)</f>
        <v/>
      </c>
    </row>
    <row r="4">
      <c r="A4" s="15" t="inlineStr">
        <is>
          <t>Duplicates removed</t>
        </is>
      </c>
      <c r="B4" s="16">
        <f>COUNTIF('Evidence Log'!M2:M100,"Yes")</f>
        <v/>
      </c>
    </row>
    <row r="5">
      <c r="A5" s="33" t="inlineStr">
        <is>
          <t>SCREENING</t>
        </is>
      </c>
      <c r="B5" s="34" t="n"/>
    </row>
    <row r="6">
      <c r="A6" s="15" t="inlineStr">
        <is>
          <t>Records screened (title/abstract)</t>
        </is>
      </c>
      <c r="B6" s="16">
        <f>B3-B4</f>
        <v/>
      </c>
    </row>
    <row r="7">
      <c r="A7" s="15" t="inlineStr">
        <is>
          <t>Records excluded at title/abstract</t>
        </is>
      </c>
      <c r="B7" s="16">
        <f>COUNTIF('Evidence Log'!O2:O100,"Exclude")</f>
        <v/>
      </c>
    </row>
    <row r="8">
      <c r="A8" s="15" t="inlineStr">
        <is>
          <t>Passed initial screen (includes background)</t>
        </is>
      </c>
      <c r="B8" s="16">
        <f>B6-B7</f>
        <v/>
      </c>
    </row>
    <row r="9">
      <c r="A9" s="15" t="inlineStr">
        <is>
          <t>Pending relevance decisions</t>
        </is>
      </c>
      <c r="B9" s="16">
        <f>COUNTIF('Evidence Log'!R2:R100,"Pending")</f>
        <v/>
      </c>
    </row>
    <row r="10">
      <c r="A10" s="15" t="inlineStr">
        <is>
          <t>Full-text screens recorded</t>
        </is>
      </c>
      <c r="B10" s="16">
        <f>COUNTIF('Evidence Log'!P2:P100,"Include")+COUNTIF('Evidence Log'!P2:P100,"Exclude")</f>
        <v/>
      </c>
    </row>
    <row r="11">
      <c r="A11" s="15" t="inlineStr">
        <is>
          <t>Reports excluded at full text</t>
        </is>
      </c>
      <c r="B11" s="16">
        <f>COUNTIF('Evidence Log'!P2:P100,"Exclude")</f>
        <v/>
      </c>
    </row>
    <row r="12">
      <c r="A12" s="33" t="inlineStr">
        <is>
          <t>INCLUDED</t>
        </is>
      </c>
      <c r="B12" s="34" t="n"/>
    </row>
    <row r="13">
      <c r="A13" s="15" t="inlineStr">
        <is>
          <t>Main-synthesis records selected for inclusion</t>
        </is>
      </c>
      <c r="B13" s="16">
        <f>COUNTIF('Evidence Log'!R2:R100,"Include")</f>
        <v/>
      </c>
    </row>
    <row r="14">
      <c r="A14" s="17" t="inlineStr">
        <is>
          <t>Background only (not main synthesis)</t>
        </is>
      </c>
      <c r="B14">
        <f>COUNTIF('Evidence Log'!R2:R100,"Background")</f>
        <v/>
      </c>
    </row>
    <row r="15">
      <c r="A15" s="33" t="inlineStr">
        <is>
          <t>EXCLUSION REASONS (all stages)</t>
        </is>
      </c>
      <c r="B15" s="34" t="n"/>
    </row>
    <row r="16">
      <c r="A16" s="15" t="inlineStr">
        <is>
          <t>E1 Not higher education</t>
        </is>
      </c>
      <c r="B16" s="16">
        <f>COUNTIF('Evidence Log'!Q2:Q100,"E1")</f>
        <v/>
      </c>
    </row>
    <row r="17">
      <c r="A17" s="15" t="inlineStr">
        <is>
          <t>E2 Not assessment / integrity</t>
        </is>
      </c>
      <c r="B17" s="16">
        <f>COUNTIF('Evidence Log'!Q2:Q100,"E2")</f>
        <v/>
      </c>
    </row>
    <row r="18">
      <c r="A18" s="15" t="inlineStr">
        <is>
          <t>E3 No AI context</t>
        </is>
      </c>
      <c r="B18" s="16">
        <f>COUNTIF('Evidence Log'!Q2:Q100,"E3")</f>
        <v/>
      </c>
    </row>
    <row r="19">
      <c r="A19" s="15" t="inlineStr">
        <is>
          <t>E4 Not peer-reviewed</t>
        </is>
      </c>
      <c r="B19" s="16">
        <f>COUNTIF('Evidence Log'!Q2:Q100,"E4")</f>
        <v/>
      </c>
    </row>
    <row r="20">
      <c r="A20" s="15" t="inlineStr">
        <is>
          <t>E5 Outside date range</t>
        </is>
      </c>
      <c r="B20" s="16">
        <f>COUNTIF('Evidence Log'!Q2:Q100,"E5")</f>
        <v/>
      </c>
    </row>
    <row r="21">
      <c r="A21" s="15" t="inlineStr">
        <is>
          <t>E6 Not English</t>
        </is>
      </c>
      <c r="B21" s="16">
        <f>COUNTIF('Evidence Log'!Q2:Q100,"E6")</f>
        <v/>
      </c>
    </row>
    <row r="22">
      <c r="A22" s="15" t="inlineStr">
        <is>
          <t>E7 Full text unavailable</t>
        </is>
      </c>
      <c r="B22" s="16">
        <f>COUNTIF('Evidence Log'!Q2:Q100,"E7")</f>
        <v/>
      </c>
    </row>
    <row r="23"/>
    <row r="24">
      <c r="A24" s="35" t="inlineStr">
        <is>
          <t>Check: main + background + pending + exclusions + duplicates = identified</t>
        </is>
      </c>
      <c r="B24" s="36">
        <f>IF(B13+B14+B9+B7+B11+B4=B3,"OK","Check log")</f>
        <v/>
      </c>
    </row>
    <row r="25"/>
    <row r="26" ht="60" customHeight="1">
      <c r="A26" s="30" t="inlineStr">
        <is>
          <t>Retained records are not all full-text verified. This is a working screening summary, not a completed PRISMA flow.</t>
        </is>
      </c>
    </row>
  </sheetData>
  <mergeCells count="1">
    <mergeCell ref="A26:B2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ColWidth="8.7109375" defaultRowHeight="15"/>
  <cols>
    <col width="10" customWidth="1" min="1" max="1"/>
    <col width="30" customWidth="1" min="2" max="2"/>
    <col width="45" customWidth="1" min="3" max="4"/>
    <col width="40" customWidth="1" min="5" max="5"/>
    <col width="26" customWidth="1" min="6" max="6"/>
    <col width="14" customWidth="1" min="7" max="7"/>
  </cols>
  <sheetData>
    <row r="1">
      <c r="A1" s="37" t="inlineStr">
        <is>
          <t>Dataset ID</t>
        </is>
      </c>
      <c r="B1" s="37" t="inlineStr">
        <is>
          <t>Name</t>
        </is>
      </c>
      <c r="C1" s="37" t="inlineStr">
        <is>
          <t>What it contains</t>
        </is>
      </c>
      <c r="D1" s="37" t="inlineStr">
        <is>
          <t>Why useful for E04</t>
        </is>
      </c>
      <c r="E1" s="37" t="inlineStr">
        <is>
          <t>Link</t>
        </is>
      </c>
      <c r="F1" s="37" t="inlineStr">
        <is>
          <t>Source / How Found</t>
        </is>
      </c>
      <c r="G1" s="37" t="inlineStr">
        <is>
          <t>Status</t>
        </is>
      </c>
    </row>
    <row r="2" ht="23.85" customHeight="1">
      <c r="A2" s="11" t="inlineStr">
        <is>
          <t>D01</t>
        </is>
      </c>
      <c r="B2" s="11" t="inlineStr">
        <is>
          <t>EPFL Assessment Vulnerability Dataset</t>
        </is>
      </c>
      <c r="C2" s="11" t="inlineStr">
        <is>
          <t>University course assessment questions with GPT model performance</t>
        </is>
      </c>
      <c r="D2" s="11" t="inlineStr">
        <is>
          <t>Shows which assessment types AI answers easily and which are more secure</t>
        </is>
      </c>
      <c r="E2" s="11" t="inlineStr">
        <is>
          <t>https://github.com/epfl-nlp/NLP4Education</t>
        </is>
      </c>
      <c r="F2" s="11" t="inlineStr">
        <is>
          <t>Sachin, Papers Key Findings doc</t>
        </is>
      </c>
      <c r="G2" s="11" t="inlineStr">
        <is>
          <t>To review</t>
        </is>
      </c>
    </row>
    <row r="3" ht="24" customHeight="1">
      <c r="A3" s="11" t="inlineStr">
        <is>
          <t>D02</t>
        </is>
      </c>
      <c r="B3" s="11" t="inlineStr">
        <is>
          <t>230-study GenAI Higher Education Dataset</t>
        </is>
      </c>
      <c r="C3" s="11" t="inlineStr">
        <is>
          <t>Coded data from 230 studies on GenAI in universities</t>
        </is>
      </c>
      <c r="D3" s="11" t="inlineStr">
        <is>
          <t>Pattern-finding on AI use, assessment, teaching and learning</t>
        </is>
      </c>
      <c r="E3" s="11" t="inlineStr">
        <is>
          <t>https://doi.org/10.5281/zenodo.20632473</t>
        </is>
      </c>
      <c r="F3" s="11" t="inlineStr">
        <is>
          <t>Sachin, Papers Key Findings doc</t>
        </is>
      </c>
      <c r="G3" s="11" t="inlineStr">
        <is>
          <t>To review</t>
        </is>
      </c>
    </row>
    <row r="4" ht="24" customHeight="1">
      <c r="A4" s="11" t="inlineStr">
        <is>
          <t>D03</t>
        </is>
      </c>
      <c r="B4" s="11" t="inlineStr">
        <is>
          <t>63-study AI Feedback Dataset</t>
        </is>
      </c>
      <c r="C4" s="11" t="inlineStr">
        <is>
          <t>63 studies on AI-generated feedback in higher education</t>
        </is>
      </c>
      <c r="D4" s="11" t="inlineStr">
        <is>
          <t>Evidence on AI feedback and assessment design</t>
        </is>
      </c>
      <c r="E4" s="26" t="inlineStr">
        <is>
          <t>https://doi.org/10.5281/zenodo.18212871</t>
        </is>
      </c>
      <c r="F4" s="11" t="n"/>
      <c r="G4" s="11" t="inlineStr">
        <is>
          <t>To review</t>
        </is>
      </c>
    </row>
    <row r="5" ht="24" customHeight="1">
      <c r="A5" s="11" t="inlineStr">
        <is>
          <t>D04</t>
        </is>
      </c>
      <c r="B5" s="11" t="inlineStr">
        <is>
          <t>CS1QA</t>
        </is>
      </c>
      <c r="C5" s="11" t="inlineStr">
        <is>
          <t>9,237 Q&amp;A pairs plus student code from an intro Python course</t>
        </is>
      </c>
      <c r="D5" s="11" t="inlineStr">
        <is>
          <t>Real novice programming questions; less direct for assessment security</t>
        </is>
      </c>
      <c r="E5" s="11" t="inlineStr">
        <is>
          <t>https://doi.org/10.18653/v1/2022.naacl-main.148</t>
        </is>
      </c>
      <c r="F5" s="11" t="inlineStr">
        <is>
          <t>Prajwal, Papers Key Findings doc</t>
        </is>
      </c>
      <c r="G5" s="11" t="inlineStr">
        <is>
          <t>To review</t>
        </is>
      </c>
    </row>
  </sheetData>
  <hyperlinks>
    <hyperlink xmlns:r="http://schemas.openxmlformats.org/officeDocument/2006/relationships" ref="E4"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2026-10-16T12:09:53Z</dcterms:created>
  <dcterms:modified xmlns:dcterms="http://purl.org/dc/terms/" xmlns:xsi="http://www.w3.org/2001/XMLSchema-instance" xsi:type="dcterms:W3CDTF">2026-10-17T22:12:04Z</dcterms:modified>
  <cp:lastModifiedBy>Prajwal Acharaya (Student)</cp:lastModifiedBy>
</cp:coreProperties>
</file>